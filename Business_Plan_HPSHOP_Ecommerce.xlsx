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mac/HPSHOP/"/>
    </mc:Choice>
  </mc:AlternateContent>
  <xr:revisionPtr revIDLastSave="0" documentId="13_ncr:1_{8AD27AD4-9D29-814C-80C4-C402B099A342}" xr6:coauthVersionLast="47" xr6:coauthVersionMax="47" xr10:uidLastSave="{00000000-0000-0000-0000-000000000000}"/>
  <bookViews>
    <workbookView xWindow="0" yWindow="0" windowWidth="28800" windowHeight="18000" activeTab="8" xr2:uid="{00000000-000D-0000-FFFF-FFFF00000000}"/>
  </bookViews>
  <sheets>
    <sheet name="Page de garde" sheetId="1" r:id="rId1"/>
    <sheet name="Pourquoi investir" sheetId="2" r:id="rId2"/>
    <sheet name="Hypotheses" sheetId="3" r:id="rId3"/>
    <sheet name="Catalogue" sheetId="4" r:id="rId4"/>
    <sheet name="Couts par commande" sheetId="5" r:id="rId5"/>
    <sheet name="Budget Pub Meta" sheetId="6" r:id="rId6"/>
    <sheet name="Mise en place site" sheetId="7" r:id="rId7"/>
    <sheet name="Approvisionnement" sheetId="8" r:id="rId8"/>
    <sheet name="Resultat 6 mois" sheetId="9" r:id="rId9"/>
    <sheet name="Synthese Investisseur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10" l="1"/>
  <c r="G5" i="9"/>
  <c r="G6" i="9" s="1"/>
  <c r="G7" i="9" s="1"/>
  <c r="D5" i="9"/>
  <c r="D6" i="9" s="1"/>
  <c r="D7" i="9" s="1"/>
  <c r="C5" i="9"/>
  <c r="C6" i="9" s="1"/>
  <c r="C7" i="9" s="1"/>
  <c r="G4" i="9"/>
  <c r="F4" i="9"/>
  <c r="F5" i="9" s="1"/>
  <c r="F6" i="9" s="1"/>
  <c r="F7" i="9" s="1"/>
  <c r="E4" i="9"/>
  <c r="E5" i="9" s="1"/>
  <c r="E6" i="9" s="1"/>
  <c r="E7" i="9" s="1"/>
  <c r="D4" i="9"/>
  <c r="C4" i="9"/>
  <c r="B4" i="9"/>
  <c r="B5" i="9" s="1"/>
  <c r="B6" i="9" s="1"/>
  <c r="B9" i="8"/>
  <c r="B12" i="8" s="1"/>
  <c r="B4" i="8"/>
  <c r="B16" i="7"/>
  <c r="B17" i="7" s="1"/>
  <c r="B11" i="7"/>
  <c r="B15" i="10" s="1"/>
  <c r="E19" i="6"/>
  <c r="D19" i="6"/>
  <c r="C19" i="6"/>
  <c r="C17" i="6"/>
  <c r="E17" i="6" s="1"/>
  <c r="B11" i="6"/>
  <c r="B9" i="6"/>
  <c r="B10" i="6" s="1"/>
  <c r="B6" i="6"/>
  <c r="B15" i="5"/>
  <c r="B14" i="5"/>
  <c r="B7" i="5"/>
  <c r="E18" i="4"/>
  <c r="C18" i="4"/>
  <c r="D17" i="4"/>
  <c r="F17" i="4" s="1"/>
  <c r="G17" i="4" s="1"/>
  <c r="D16" i="4"/>
  <c r="F16" i="4" s="1"/>
  <c r="G16" i="4" s="1"/>
  <c r="F15" i="4"/>
  <c r="G15" i="4" s="1"/>
  <c r="D15" i="4"/>
  <c r="D14" i="4"/>
  <c r="F14" i="4" s="1"/>
  <c r="G14" i="4" s="1"/>
  <c r="F13" i="4"/>
  <c r="G13" i="4" s="1"/>
  <c r="D13" i="4"/>
  <c r="G12" i="4"/>
  <c r="F12" i="4"/>
  <c r="D12" i="4"/>
  <c r="D11" i="4"/>
  <c r="F11" i="4" s="1"/>
  <c r="G11" i="4" s="1"/>
  <c r="D10" i="4"/>
  <c r="F10" i="4" s="1"/>
  <c r="G10" i="4" s="1"/>
  <c r="D9" i="4"/>
  <c r="F9" i="4" s="1"/>
  <c r="G9" i="4" s="1"/>
  <c r="D8" i="4"/>
  <c r="F8" i="4" s="1"/>
  <c r="G8" i="4" s="1"/>
  <c r="F7" i="4"/>
  <c r="G7" i="4" s="1"/>
  <c r="D7" i="4"/>
  <c r="D6" i="4"/>
  <c r="F6" i="4" s="1"/>
  <c r="G6" i="4" s="1"/>
  <c r="F5" i="4"/>
  <c r="D5" i="4"/>
  <c r="D18" i="4" s="1"/>
  <c r="G4" i="4"/>
  <c r="F4" i="4"/>
  <c r="D4" i="4"/>
  <c r="B28" i="3"/>
  <c r="B13" i="8" s="1"/>
  <c r="B22" i="3"/>
  <c r="B4" i="6" s="1"/>
  <c r="B7" i="6" s="1"/>
  <c r="B16" i="3"/>
  <c r="B5" i="10" s="1"/>
  <c r="B15" i="3"/>
  <c r="B12" i="3"/>
  <c r="B6" i="5" s="1"/>
  <c r="B11" i="3"/>
  <c r="B18" i="6" l="1"/>
  <c r="C18" i="6" s="1"/>
  <c r="E9" i="9"/>
  <c r="E10" i="9"/>
  <c r="E12" i="9"/>
  <c r="F9" i="9"/>
  <c r="F11" i="9" s="1"/>
  <c r="F10" i="9"/>
  <c r="F12" i="9"/>
  <c r="F18" i="4"/>
  <c r="G18" i="4" s="1"/>
  <c r="C14" i="9"/>
  <c r="B14" i="9"/>
  <c r="G14" i="9"/>
  <c r="F14" i="9"/>
  <c r="E14" i="9"/>
  <c r="D14" i="9"/>
  <c r="C9" i="9"/>
  <c r="C10" i="9"/>
  <c r="C12" i="9"/>
  <c r="D9" i="9"/>
  <c r="D10" i="9"/>
  <c r="D12" i="9"/>
  <c r="G10" i="9"/>
  <c r="G12" i="9"/>
  <c r="G9" i="9"/>
  <c r="E18" i="6"/>
  <c r="D18" i="6"/>
  <c r="B7" i="9"/>
  <c r="H6" i="9"/>
  <c r="B18" i="10"/>
  <c r="B23" i="3"/>
  <c r="G5" i="4"/>
  <c r="B5" i="5"/>
  <c r="B16" i="5"/>
  <c r="B5" i="8"/>
  <c r="B7" i="8" s="1"/>
  <c r="B14" i="8" s="1"/>
  <c r="D17" i="6"/>
  <c r="B9" i="9" l="1"/>
  <c r="B12" i="9"/>
  <c r="H12" i="9" s="1"/>
  <c r="B10" i="9"/>
  <c r="H10" i="9" s="1"/>
  <c r="H7" i="9"/>
  <c r="F15" i="9"/>
  <c r="D11" i="9"/>
  <c r="B20" i="5"/>
  <c r="B19" i="5"/>
  <c r="B18" i="5"/>
  <c r="B15" i="8"/>
  <c r="B16" i="10" s="1"/>
  <c r="G11" i="9"/>
  <c r="H14" i="9"/>
  <c r="B13" i="9"/>
  <c r="B7" i="10"/>
  <c r="B8" i="10" s="1"/>
  <c r="B9" i="10" s="1"/>
  <c r="B11" i="10" s="1"/>
  <c r="B8" i="5"/>
  <c r="B9" i="5" s="1"/>
  <c r="G13" i="9"/>
  <c r="C13" i="9"/>
  <c r="B21" i="5"/>
  <c r="F13" i="9"/>
  <c r="B5" i="6"/>
  <c r="E13" i="9"/>
  <c r="D13" i="9"/>
  <c r="C11" i="9"/>
  <c r="B17" i="5"/>
  <c r="B23" i="5" s="1"/>
  <c r="E11" i="9"/>
  <c r="G15" i="9" l="1"/>
  <c r="D15" i="9"/>
  <c r="B8" i="6"/>
  <c r="B17" i="10" s="1"/>
  <c r="B13" i="6"/>
  <c r="B12" i="6"/>
  <c r="E15" i="9"/>
  <c r="H13" i="9"/>
  <c r="B6" i="10"/>
  <c r="B10" i="5"/>
  <c r="B22" i="5"/>
  <c r="B11" i="9"/>
  <c r="H9" i="9"/>
  <c r="B24" i="10" s="1"/>
  <c r="B19" i="10"/>
  <c r="C15" i="9"/>
  <c r="C17" i="10" l="1"/>
  <c r="C15" i="10"/>
  <c r="C18" i="10"/>
  <c r="C16" i="10"/>
  <c r="H11" i="9"/>
  <c r="B15" i="9"/>
  <c r="B16" i="9" l="1"/>
  <c r="C16" i="9" s="1"/>
  <c r="D16" i="9" s="1"/>
  <c r="E16" i="9" s="1"/>
  <c r="F16" i="9" s="1"/>
  <c r="G16" i="9" s="1"/>
  <c r="H15" i="9"/>
  <c r="C19" i="10"/>
  <c r="B26" i="10" l="1"/>
  <c r="B25" i="10"/>
  <c r="B23" i="10"/>
  <c r="H16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HPSHOP</author>
  </authors>
  <commentList>
    <comment ref="B5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Modifier ce taux met à jour toutes les conversions FCFA→GNF du classeur.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HPSHOP</author>
  </authors>
  <commentList>
    <comment ref="B6" authorId="0" shapeId="0" xr:uid="{00000000-0006-0000-0700-000001000000}">
      <text>
        <r>
          <rPr>
            <sz val="11"/>
            <color theme="1"/>
            <rFont val="Calibri"/>
            <family val="2"/>
            <scheme val="minor"/>
          </rPr>
          <t>À remplacer par le coût réel de transport/import dès qu'il est connu.</t>
        </r>
      </text>
    </comment>
    <comment ref="B10" authorId="0" shapeId="0" xr:uid="{00000000-0006-0000-0700-000002000000}">
      <text>
        <r>
          <rPr>
            <sz val="11"/>
            <color rgb="FF000000"/>
            <rFont val="Calibri"/>
            <family val="2"/>
          </rPr>
          <t>Délai porte-à-porte estimé Chine→Conakry. À confirmer avec le transitaire.</t>
        </r>
      </text>
    </comment>
  </commentList>
</comments>
</file>

<file path=xl/sharedStrings.xml><?xml version="1.0" encoding="utf-8"?>
<sst xmlns="http://schemas.openxmlformats.org/spreadsheetml/2006/main" count="377" uniqueCount="265">
  <si>
    <t>HPSHOP</t>
  </si>
  <si>
    <t>Helpmeprocess — Commerce en ligne (COD) en Guinée</t>
  </si>
  <si>
    <t>BUSINESS PLAN</t>
  </si>
  <si>
    <t>Dossier de recherche de financement — Investisseurs &amp; bailleurs de fonds</t>
  </si>
  <si>
    <t>Projet</t>
  </si>
  <si>
    <t>HPSHOP — Site e-commerce (Helpmeprocess)</t>
  </si>
  <si>
    <t>Porteur de projet</t>
  </si>
  <si>
    <t>Abdourahamane Cissé — XPROCESS</t>
  </si>
  <si>
    <t>Date</t>
  </si>
  <si>
    <t>Juin 2026</t>
  </si>
  <si>
    <t>Objet</t>
  </si>
  <si>
    <t>Recherche de financement pour le lancement et la structuration</t>
  </si>
  <si>
    <t>MODÈLE ÉCONOMIQUE EN UNE PHRASE</t>
  </si>
  <si>
    <t>Achat de produits tendance en Chine / Dubaï via AfriShop, revente en ligne sur HPSHOP (paiement à la livraison — COD), avec confirmation des commandes et livraison sous-traitées à Rapido sur Conakry et l'intérieur du pays.</t>
  </si>
  <si>
    <t>POURQUOI INVESTIR DANS CE MODÈLE</t>
  </si>
  <si>
    <t>Argumentaire stratégique — product-market fit déjà démontré</t>
  </si>
  <si>
    <t>1.  Le COD (paiement à la livraison) — taillé pour le marché guinéen</t>
  </si>
  <si>
    <t>En Guinée, la bancarisation reste faible et la méfiance envers le paiement en ligne anticipé est forte. Le COD lève ce frein : le client ne paie qu'à la réception physique du produit. La confiance est instaurée par l'acte d'achat lui-même, ce qui débloque la conversion là où le prépaiement échoue. C'est le mode de paiement le plus adapté au contexte local et le socle de notre modèle.</t>
  </si>
  <si>
    <t>2.  L'intérêt du e-commerce en Guinée aujourd'hui</t>
  </si>
  <si>
    <t>Marché jeune et forte pénétration mobile : Facebook et Instagram servent de vitrine commerciale directe. Il n'existe pas encore d'acteur structuré sur nos catégories (auto/entretien, beauté, tech accessible, maison). L'opportunité : devenir un acteur de référence avant l'arrivée de concurrents plus importants et mieux capitalisés.</t>
  </si>
  <si>
    <t>PREUVE DE TRACTION — CHIFFRES DÉJÀ RÉALISÉS AVEC AFRISHOP</t>
  </si>
  <si>
    <t>100%</t>
  </si>
  <si>
    <t>45</t>
  </si>
  <si>
    <t>30</t>
  </si>
  <si>
    <t>29</t>
  </si>
  <si>
    <t>Taux de livraison
historique</t>
  </si>
  <si>
    <t>Engine Protectant
(unités vendues)</t>
  </si>
  <si>
    <t>Car Carbon Fiber
Film 5D (unités)</t>
  </si>
  <si>
    <t>Crème Visage Kojic
(unités)</t>
  </si>
  <si>
    <t>•  Top produits déjà validés par la demande réelle : Engine Protectant (45), Car Carbon Fiber Film 5D (30), Crème Visage Kojic (29), Shilajit Soft Candy et Googles (26 chacun).</t>
  </si>
  <si>
    <t>•  Couverture géographique déjà opérationnelle : Conakry (toutes communes) + intérieur du pays (Coyah, Kamsar, Boké, etc.).</t>
  </si>
  <si>
    <t>•  Charges opérationnelles actuelles ≈ 61% du chiffre d'affaires — mentionné en toute transparence. C'est précisément ce que le nouveau modèle (site propre + catalogue optimisé + Rapido) vise à améliorer.</t>
  </si>
  <si>
    <t>CONCLUSION</t>
  </si>
  <si>
    <t>Le product-market fit est déjà démontré sur des produits similaires et la demande est confirmée. Ce business plan présente l'étape de structuration — site propre HPSHOP, catalogue élargi, partenariat logistique formalisé avec Rapido — pour passer d'un test informel à une activité e-commerce structurée, pilotable et finançable.</t>
  </si>
  <si>
    <t>HYPOTHÈSES &amp; TAUX DE CHANGE</t>
  </si>
  <si>
    <t>Cellules en BLEU = modifiables. Les calculs (en noir) se mettent à jour automatiquement.</t>
  </si>
  <si>
    <t>Paramètre</t>
  </si>
  <si>
    <t>Valeur</t>
  </si>
  <si>
    <t>Unité</t>
  </si>
  <si>
    <t>Source / Note</t>
  </si>
  <si>
    <t>TAUX DE CHANGE</t>
  </si>
  <si>
    <t>1 FCFA en GNF</t>
  </si>
  <si>
    <t>GNF</t>
  </si>
  <si>
    <t>Taux moyen marché, juin 2026</t>
  </si>
  <si>
    <t>1 USD en GNF</t>
  </si>
  <si>
    <t>COÛTS &amp; PRIX PRODUITS</t>
  </si>
  <si>
    <t>Coût d'achat — bas de fourchette</t>
  </si>
  <si>
    <t>FCFA</t>
  </si>
  <si>
    <t>Hypothèse</t>
  </si>
  <si>
    <t>Coût d'achat — haut de fourchette</t>
  </si>
  <si>
    <t>Coût d'achat retenu (milieu de fourchette)</t>
  </si>
  <si>
    <t>Calcul</t>
  </si>
  <si>
    <t>Coût d'achat retenu</t>
  </si>
  <si>
    <t>Calcul (× taux FCFA)</t>
  </si>
  <si>
    <t>Prix de vente — bas de fourchette</t>
  </si>
  <si>
    <t>Prix marché Guinée, juin 2026</t>
  </si>
  <si>
    <t>Prix de vente — haut de fourchette</t>
  </si>
  <si>
    <t>Prix de vente retenu (milieu de fourchette)</t>
  </si>
  <si>
    <t>Prix de vente retenu — base des calculs</t>
  </si>
  <si>
    <t>Calcul (déjà en GNF, sans conversion)</t>
  </si>
  <si>
    <t>LOGISTIQUE &amp; ACQUISITION</t>
  </si>
  <si>
    <t>Coût Rapido par commande livrée</t>
  </si>
  <si>
    <t>Valeur fixe — porteur de projet</t>
  </si>
  <si>
    <t>Budget pub Meta — bas</t>
  </si>
  <si>
    <t>USD/jour</t>
  </si>
  <si>
    <t>Budget pub Meta — haut</t>
  </si>
  <si>
    <t>Budget pub Meta retenu (milieu)</t>
  </si>
  <si>
    <t>Budget pub Meta retenu</t>
  </si>
  <si>
    <t>GNF/jour</t>
  </si>
  <si>
    <t>Calcul (× taux USD)</t>
  </si>
  <si>
    <t>VOLUME &amp; PERFORMANCE</t>
  </si>
  <si>
    <t>Objectif commandes confirmées / jour</t>
  </si>
  <si>
    <t>cmd/jour</t>
  </si>
  <si>
    <t>Hypothèse modifiable</t>
  </si>
  <si>
    <t>Taux de livraison réussie (COD)</t>
  </si>
  <si>
    <t>%</t>
  </si>
  <si>
    <t>Ajustable — toutes les commandes confirmées ne sont pas livrées</t>
  </si>
  <si>
    <t>Commandes livrées / jour</t>
  </si>
  <si>
    <t>Jours opérés / mois</t>
  </si>
  <si>
    <t>jours</t>
  </si>
  <si>
    <t>MONTÉE EN CHARGE (RAMP-UP) — % de l'objectif atteint</t>
  </si>
  <si>
    <t>Mois 1</t>
  </si>
  <si>
    <t>Hypothèse de démarrage progressif</t>
  </si>
  <si>
    <t>Mois 2</t>
  </si>
  <si>
    <t>Mois 3</t>
  </si>
  <si>
    <t>Mois 4</t>
  </si>
  <si>
    <t>Mois 5</t>
  </si>
  <si>
    <t>Mois 6</t>
  </si>
  <si>
    <t>CATALOGUE PRODUITS</t>
  </si>
  <si>
    <t>Coût (FCFA) et prix de vente (GNF) en BLEU = modifiables par produit (défaut = milieu de fourchette). Marges calculées.</t>
  </si>
  <si>
    <t>Produit</t>
  </si>
  <si>
    <t>Catégorie</t>
  </si>
  <si>
    <t>Coût achat
(FCFA)</t>
  </si>
  <si>
    <t>Coût achat
(GNF)</t>
  </si>
  <si>
    <t>Prix vente
(GNF)</t>
  </si>
  <si>
    <t>Marge brute
(GNF)</t>
  </si>
  <si>
    <t>Marge
%</t>
  </si>
  <si>
    <t>Engine Protectant</t>
  </si>
  <si>
    <t>AUTO / ENTRETIEN</t>
  </si>
  <si>
    <t>Car Carbon Fiber Film 5D Black</t>
  </si>
  <si>
    <t>Crème d'entretien pour cuir</t>
  </si>
  <si>
    <t>Crème Visage Kojic</t>
  </si>
  <si>
    <t>BEAUTÉ &amp; BIEN-ÊTRE</t>
  </si>
  <si>
    <t>Shilajit Soft Candy</t>
  </si>
  <si>
    <t>Tooth Whitening Powder</t>
  </si>
  <si>
    <t>Electric Nail Clippers</t>
  </si>
  <si>
    <t>Masques de protection moto (Goggles)</t>
  </si>
  <si>
    <t>TECH &amp; JEUNESSE</t>
  </si>
  <si>
    <t>FlexiMag 3-in-1</t>
  </si>
  <si>
    <t>Chargeur de secours / power bank</t>
  </si>
  <si>
    <t>Pack Smartwatch + écouteurs (iRed Ultra)</t>
  </si>
  <si>
    <t>Caméra surveillance IP ampoule 360°</t>
  </si>
  <si>
    <t>ÉLECTROMÉNAGER &amp; MAISON</t>
  </si>
  <si>
    <t>Ventilateur brumisateur double tête</t>
  </si>
  <si>
    <t>Kit santé (tensiomètre+glycémie+oxymètre)</t>
  </si>
  <si>
    <t>MOYENNE CATALOGUE</t>
  </si>
  <si>
    <t>COÛTS PAR COMMANDE — RENTABILITÉ UNITAIRE</t>
  </si>
  <si>
    <t>Toutes les valeurs proviennent de l'onglet Hypothèses.</t>
  </si>
  <si>
    <t>A. POUR UNE COMMANDE LIVRÉE</t>
  </si>
  <si>
    <t>Poste</t>
  </si>
  <si>
    <t>Montant</t>
  </si>
  <si>
    <t>Note</t>
  </si>
  <si>
    <t>Prix de vente (moyen)</t>
  </si>
  <si>
    <t>Catalogue — prix retenu</t>
  </si>
  <si>
    <t>(–) Coût d'achat produit</t>
  </si>
  <si>
    <t>Coût rendu hors transport</t>
  </si>
  <si>
    <t>(–) Coût Rapido (confirmation + livraison)</t>
  </si>
  <si>
    <t>70 000 GNF — valeur fixe</t>
  </si>
  <si>
    <t>(–) Coût publicitaire alloué / commande livrée</t>
  </si>
  <si>
    <t>Budget pub jour ÷ commandes livrées/jour</t>
  </si>
  <si>
    <t>►  Marge nette par commande livrée</t>
  </si>
  <si>
    <t>Marge nette (%)</t>
  </si>
  <si>
    <t>B. IMPACT DU TAUX DE LIVRAISON (par jour)</t>
  </si>
  <si>
    <t>Commandes confirmées / jour</t>
  </si>
  <si>
    <t>Taux de livraison réussie</t>
  </si>
  <si>
    <t>Commandes confirmées non livrées / jour</t>
  </si>
  <si>
    <t>Perte sèche pub</t>
  </si>
  <si>
    <t>Chiffre d'affaires / jour</t>
  </si>
  <si>
    <t>Livrées × prix</t>
  </si>
  <si>
    <t>(–) Coût des produits / jour</t>
  </si>
  <si>
    <t>(–) Coût Rapido / jour</t>
  </si>
  <si>
    <t>(–) Coût publicitaire / jour</t>
  </si>
  <si>
    <t>Dépensé quel que soit le taux</t>
  </si>
  <si>
    <t>►  Marge nette / jour</t>
  </si>
  <si>
    <t>Perte pub sur commandes non livrées / jour</t>
  </si>
  <si>
    <t>Budget pub gaspillé sur non-livrées</t>
  </si>
  <si>
    <t>BUDGET PUBLICITÉ META (Facebook / Instagram)</t>
  </si>
  <si>
    <t>Budget pub / jour (retenu)</t>
  </si>
  <si>
    <t>Jours / mois</t>
  </si>
  <si>
    <t>Budget pub / mois</t>
  </si>
  <si>
    <t>USD/mois</t>
  </si>
  <si>
    <t>GNF/mois</t>
  </si>
  <si>
    <t>Commandes confirmées visées / jour</t>
  </si>
  <si>
    <t>Commandes confirmées visées / mois</t>
  </si>
  <si>
    <t>cmd/mois</t>
  </si>
  <si>
    <t>Commandes livrées / mois</t>
  </si>
  <si>
    <t>Coût d'acquisition / commande confirmée</t>
  </si>
  <si>
    <t>CPA confirmée</t>
  </si>
  <si>
    <t>Coût d'acquisition / commande livrée</t>
  </si>
  <si>
    <t>CPA livrée</t>
  </si>
  <si>
    <t>SCÉNARIOS DE BUDGET</t>
  </si>
  <si>
    <t>Scénario</t>
  </si>
  <si>
    <t>USD / jour</t>
  </si>
  <si>
    <t>GNF / jour</t>
  </si>
  <si>
    <t>GNF / mois</t>
  </si>
  <si>
    <t>Prudent</t>
  </si>
  <si>
    <t>Retenu</t>
  </si>
  <si>
    <t>Agressif</t>
  </si>
  <si>
    <t>Note : ces hypothèses s'appuient sur des tests publicitaires réels déjà menés par l'entreprise sur le marché guinéen — et non sur des moyennes Facebook Europe/USA, non pertinentes ici.</t>
  </si>
  <si>
    <t>MISE EN PLACE DU SITE HPSHOP — CAPEX</t>
  </si>
  <si>
    <t>Montants en BLEU = estimations à valider avant envoi au bailleur.</t>
  </si>
  <si>
    <t>Montant (GNF)</t>
  </si>
  <si>
    <t>Note / Statut</t>
  </si>
  <si>
    <t>Développement &amp; personnalisation du site HPSHOP</t>
  </si>
  <si>
    <t>Estimation à valider</t>
  </si>
  <si>
    <t>Design, branding &amp; logo</t>
  </si>
  <si>
    <t>Intégration paiement / COD / formulaire de commande</t>
  </si>
  <si>
    <t>Photos &amp; contenu produits</t>
  </si>
  <si>
    <t>Nom de domaine (1 an)</t>
  </si>
  <si>
    <t>Hébergement (1 an)</t>
  </si>
  <si>
    <t>Frais ponctuels divers (configuration, tests)</t>
  </si>
  <si>
    <t>TOTAL CAPEX SITE</t>
  </si>
  <si>
    <t>COÛTS FIXES MENSUELS RÉCURRENTS</t>
  </si>
  <si>
    <t>Maintenance &amp; mises à jour du site / mois</t>
  </si>
  <si>
    <t>Hébergement + domaine amortis / mois</t>
  </si>
  <si>
    <t>Calcul (postes annuels ÷ 12)</t>
  </si>
  <si>
    <t>TOTAL COÛT FIXE MENSUEL</t>
  </si>
  <si>
    <t>APPROVISIONNEMENT / SUPPLY CHAIN</t>
  </si>
  <si>
    <t>Cellules en BLEU = à compléter / ajuster (transport, délais).</t>
  </si>
  <si>
    <t>Coût d'achat unitaire (Chine)</t>
  </si>
  <si>
    <t>Hypothèses</t>
  </si>
  <si>
    <t>Frais transport &amp; import Chine→Guinée</t>
  </si>
  <si>
    <t>ESTIMATION — à compléter (% du coût d'achat)</t>
  </si>
  <si>
    <t>Coût d'achat rendu Guinée / unité</t>
  </si>
  <si>
    <t>VOLUME &amp; STOCK</t>
  </si>
  <si>
    <t>Commandes confirmées / jour (plein régime)</t>
  </si>
  <si>
    <t>cmd/j</t>
  </si>
  <si>
    <t>Délai d'approvisionnement estimé</t>
  </si>
  <si>
    <t>ESTIMATION — à compléter</t>
  </si>
  <si>
    <t>Coefficient de stock de sécurité</t>
  </si>
  <si>
    <t>x</t>
  </si>
  <si>
    <t>ESTIMATION — marge de sécurité</t>
  </si>
  <si>
    <t>Stock de sécurité recommandé</t>
  </si>
  <si>
    <t>unités</t>
  </si>
  <si>
    <t>Calcul (cmd/j × délai × coef)</t>
  </si>
  <si>
    <t>Volume mensuel livré (plein régime)</t>
  </si>
  <si>
    <t>Coût d'achat mensuel (rendu Guinée)</t>
  </si>
  <si>
    <t>Valeur du stock de sécurité (stock initial)</t>
  </si>
  <si>
    <t>Calcul — sert au plan de financement</t>
  </si>
  <si>
    <t>COMPTE DE RÉSULTAT PRÉVISIONNEL — 6 MOIS</t>
  </si>
  <si>
    <t>Montée en charge progressive (ramp-up) modifiable dans l'onglet Hypothèses (lignes Mois 1 à 6).</t>
  </si>
  <si>
    <t>Poste (GNF)</t>
  </si>
  <si>
    <t>Total 6 mois</t>
  </si>
  <si>
    <t>% de l'objectif (ramp-up)</t>
  </si>
  <si>
    <t>Commandes confirmées / mois</t>
  </si>
  <si>
    <t>Chiffre d'affaires</t>
  </si>
  <si>
    <t>(–) Coût des produits vendus</t>
  </si>
  <si>
    <t>►  Marge brute</t>
  </si>
  <si>
    <t>(–) Coûts Rapido</t>
  </si>
  <si>
    <t>(–) Coûts publicitaires</t>
  </si>
  <si>
    <t>(–) Coûts fixes (site)</t>
  </si>
  <si>
    <t>►  Résultat net</t>
  </si>
  <si>
    <t>Résultat net cumulé</t>
  </si>
  <si>
    <t>SYNTHÈSE POUR L'INVESTISSEUR</t>
  </si>
  <si>
    <t>RENTABILITÉ UNITAIRE &amp; SEUIL DE RENTABILITÉ (BREAK-EVEN)</t>
  </si>
  <si>
    <t>Indicateur</t>
  </si>
  <si>
    <t>Marge contributive / commande livrée</t>
  </si>
  <si>
    <t>Prix – achat – Rapido (avant pub &amp; fixes)</t>
  </si>
  <si>
    <t>Marge nette / commande livrée</t>
  </si>
  <si>
    <t>Après pub allouée</t>
  </si>
  <si>
    <t>Charges fixes journalières (pub + site)</t>
  </si>
  <si>
    <t>GNF/j</t>
  </si>
  <si>
    <t>À couvrir chaque jour</t>
  </si>
  <si>
    <t>Break-even — commandes livrées / jour</t>
  </si>
  <si>
    <t>Charges fixes ÷ marge contributive</t>
  </si>
  <si>
    <t>Break-even — commandes confirmées / jour</t>
  </si>
  <si>
    <t>Livrées ÷ taux de livraison</t>
  </si>
  <si>
    <t>Objectif confirmées / jour (plein régime)</t>
  </si>
  <si>
    <t>Pour comparaison</t>
  </si>
  <si>
    <t>Marge de sécurité vs objectif</t>
  </si>
  <si>
    <t>Au-dessus du seuil</t>
  </si>
  <si>
    <t>PLAN DE FINANCEMENT — UTILISATION DES FONDS</t>
  </si>
  <si>
    <t>% du total</t>
  </si>
  <si>
    <t>CAPEX — mise en place du site</t>
  </si>
  <si>
    <t>Investissement initial site</t>
  </si>
  <si>
    <t>Stock initial (stock de sécurité)</t>
  </si>
  <si>
    <t>Approvisionnement</t>
  </si>
  <si>
    <t>Budget publicité (3 mois)</t>
  </si>
  <si>
    <t>Amorçage acquisition</t>
  </si>
  <si>
    <t>Fonds de roulement (1 mois charges variables)</t>
  </si>
  <si>
    <t>Produits + Rapido, 1 mois plein régime</t>
  </si>
  <si>
    <t>FINANCEMENT TOTAL DEMANDÉ</t>
  </si>
  <si>
    <t>RETOUR SUR INVESTISSEMENT (6 MOIS)</t>
  </si>
  <si>
    <t>Résultat net cumulé sur 6 mois</t>
  </si>
  <si>
    <t>Onglet Résultat 6 mois</t>
  </si>
  <si>
    <t>Chiffre d'affaires cumulé 6 mois</t>
  </si>
  <si>
    <t>ROI sur 6 mois</t>
  </si>
  <si>
    <t>Résultat cumulé ÷ financement</t>
  </si>
  <si>
    <t>Marge nette moyenne</t>
  </si>
  <si>
    <t>Résultat ÷ CA</t>
  </si>
  <si>
    <t>PRINCIPAUX FACTEURS DE RISQUE</t>
  </si>
  <si>
    <t>•  Taux de change FCFA/GNF et USD/GNF : une dépréciation du GNF renchérit les achats — sensibilité testable via l'onglet Hypothèses.</t>
  </si>
  <si>
    <t>•  Taux de livraison Rapido (COD) : chaque point de taux de livraison perdu réduit directement le CA et gaspille du budget pub.</t>
  </si>
  <si>
    <t>•  Saisonnalité &amp; coût publicitaire : le CPA Meta peut augmenter ; le budget pub est la principale charge variable à piloter.</t>
  </si>
  <si>
    <t>•  Approvisionnement : délais et frais de transport Chine→Guinée non encore confirmés (à valider avec le transitaire).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</si>
</sst>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"/>
    <numFmt numFmtId="165" formatCode="#,##0&quot; FCFA&quot;"/>
    <numFmt numFmtId="166" formatCode="#,##0&quot; GNF&quot;"/>
    <numFmt numFmtId="167" formatCode="#,##0.0&quot; $&quot;"/>
    <numFmt numFmtId="168" formatCode="0.0%"/>
  </numFmts>
  <fonts count="21" x14ac:knownFonts="1">
    <font>
      <sz val="11"/>
      <color theme="1"/>
      <name val="Calibri"/>
      <family val="2"/>
      <scheme val="minor"/>
    </font>
    <font>
      <b/>
      <sz val="40"/>
      <color rgb="FF1F3864"/>
      <name val="Arial"/>
      <family val="2"/>
    </font>
    <font>
      <i/>
      <sz val="14"/>
      <color rgb="FF2E5496"/>
      <name val="Arial"/>
      <family val="2"/>
    </font>
    <font>
      <b/>
      <sz val="18"/>
      <color rgb="FFFFFFFF"/>
      <name val="Arial"/>
      <family val="2"/>
    </font>
    <font>
      <sz val="11"/>
      <color rgb="FFFFFFFF"/>
      <name val="Arial"/>
      <family val="2"/>
    </font>
    <font>
      <b/>
      <sz val="11"/>
      <color rgb="FF1F3864"/>
      <name val="Arial"/>
      <family val="2"/>
    </font>
    <font>
      <sz val="11"/>
      <name val="Arial"/>
      <family val="2"/>
    </font>
    <font>
      <b/>
      <sz val="11"/>
      <color rgb="FFFFFFFF"/>
      <name val="Arial"/>
      <family val="2"/>
    </font>
    <font>
      <sz val="12"/>
      <name val="Arial"/>
      <family val="2"/>
    </font>
    <font>
      <b/>
      <sz val="16"/>
      <color rgb="FFFFFFFF"/>
      <name val="Arial"/>
      <family val="2"/>
    </font>
    <font>
      <i/>
      <sz val="10"/>
      <color rgb="FFFFFFFF"/>
      <name val="Arial"/>
      <family val="2"/>
    </font>
    <font>
      <b/>
      <sz val="12"/>
      <color rgb="FF1F3864"/>
      <name val="Arial"/>
      <family val="2"/>
    </font>
    <font>
      <b/>
      <sz val="28"/>
      <color rgb="FFFFFFFF"/>
      <name val="Arial"/>
      <family val="2"/>
    </font>
    <font>
      <sz val="10"/>
      <color rgb="FFFFFFFF"/>
      <name val="Arial"/>
      <family val="2"/>
    </font>
    <font>
      <b/>
      <sz val="10"/>
      <color rgb="FFFFFFFF"/>
      <name val="Arial"/>
      <family val="2"/>
    </font>
    <font>
      <sz val="11"/>
      <color rgb="FF000000"/>
      <name val="Arial"/>
      <family val="2"/>
    </font>
    <font>
      <sz val="11"/>
      <color rgb="FF0000FF"/>
      <name val="Arial"/>
      <family val="2"/>
    </font>
    <font>
      <i/>
      <sz val="9"/>
      <color rgb="FF595959"/>
      <name val="Arial"/>
      <family val="2"/>
    </font>
    <font>
      <b/>
      <sz val="11"/>
      <color rgb="FF000000"/>
      <name val="Arial"/>
      <family val="2"/>
    </font>
    <font>
      <sz val="10"/>
      <name val="Arial"/>
      <family val="2"/>
    </font>
    <font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5496"/>
      </patternFill>
    </fill>
    <fill>
      <patternFill patternType="solid">
        <fgColor rgb="FFF2F2F2"/>
      </patternFill>
    </fill>
    <fill>
      <patternFill patternType="solid">
        <fgColor rgb="FF305496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5" fillId="0" borderId="0" xfId="0" applyFont="1" applyAlignment="1">
      <alignment horizontal="right" vertical="center"/>
    </xf>
    <xf numFmtId="0" fontId="12" fillId="2" borderId="1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 wrapText="1"/>
    </xf>
    <xf numFmtId="0" fontId="14" fillId="5" borderId="1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left" vertical="center"/>
    </xf>
    <xf numFmtId="164" fontId="16" fillId="6" borderId="1" xfId="0" applyNumberFormat="1" applyFont="1" applyFill="1" applyBorder="1" applyAlignment="1">
      <alignment horizontal="right" vertical="center"/>
    </xf>
    <xf numFmtId="0" fontId="15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left" vertical="center"/>
    </xf>
    <xf numFmtId="3" fontId="16" fillId="6" borderId="1" xfId="0" applyNumberFormat="1" applyFont="1" applyFill="1" applyBorder="1" applyAlignment="1">
      <alignment horizontal="right" vertical="center"/>
    </xf>
    <xf numFmtId="165" fontId="16" fillId="6" borderId="1" xfId="0" applyNumberFormat="1" applyFont="1" applyFill="1" applyBorder="1" applyAlignment="1">
      <alignment horizontal="right" vertical="center"/>
    </xf>
    <xf numFmtId="165" fontId="18" fillId="0" borderId="1" xfId="0" applyNumberFormat="1" applyFont="1" applyBorder="1" applyAlignment="1">
      <alignment horizontal="right" vertical="center"/>
    </xf>
    <xf numFmtId="166" fontId="18" fillId="0" borderId="1" xfId="0" applyNumberFormat="1" applyFont="1" applyBorder="1" applyAlignment="1">
      <alignment horizontal="right" vertical="center"/>
    </xf>
    <xf numFmtId="166" fontId="16" fillId="6" borderId="1" xfId="0" applyNumberFormat="1" applyFont="1" applyFill="1" applyBorder="1" applyAlignment="1">
      <alignment horizontal="right" vertical="center"/>
    </xf>
    <xf numFmtId="167" fontId="16" fillId="6" borderId="1" xfId="0" applyNumberFormat="1" applyFont="1" applyFill="1" applyBorder="1" applyAlignment="1">
      <alignment horizontal="right" vertical="center"/>
    </xf>
    <xf numFmtId="167" fontId="18" fillId="0" borderId="1" xfId="0" applyNumberFormat="1" applyFont="1" applyBorder="1" applyAlignment="1">
      <alignment horizontal="right" vertical="center"/>
    </xf>
    <xf numFmtId="168" fontId="16" fillId="6" borderId="1" xfId="0" applyNumberFormat="1" applyFont="1" applyFill="1" applyBorder="1" applyAlignment="1">
      <alignment horizontal="right" vertical="center"/>
    </xf>
    <xf numFmtId="164" fontId="18" fillId="0" borderId="1" xfId="0" applyNumberFormat="1" applyFont="1" applyBorder="1" applyAlignment="1">
      <alignment horizontal="right" vertical="center"/>
    </xf>
    <xf numFmtId="166" fontId="15" fillId="0" borderId="1" xfId="0" applyNumberFormat="1" applyFont="1" applyBorder="1" applyAlignment="1">
      <alignment horizontal="right" vertical="center"/>
    </xf>
    <xf numFmtId="168" fontId="15" fillId="0" borderId="1" xfId="0" applyNumberFormat="1" applyFont="1" applyBorder="1" applyAlignment="1">
      <alignment horizontal="right" vertical="center"/>
    </xf>
    <xf numFmtId="0" fontId="18" fillId="4" borderId="1" xfId="0" applyFont="1" applyFill="1" applyBorder="1" applyAlignment="1">
      <alignment horizontal="left" vertical="center"/>
    </xf>
    <xf numFmtId="0" fontId="15" fillId="4" borderId="1" xfId="0" applyFont="1" applyFill="1" applyBorder="1" applyAlignment="1">
      <alignment vertical="center"/>
    </xf>
    <xf numFmtId="165" fontId="18" fillId="4" borderId="1" xfId="0" applyNumberFormat="1" applyFont="1" applyFill="1" applyBorder="1" applyAlignment="1">
      <alignment horizontal="right" vertical="center"/>
    </xf>
    <xf numFmtId="166" fontId="18" fillId="4" borderId="1" xfId="0" applyNumberFormat="1" applyFont="1" applyFill="1" applyBorder="1" applyAlignment="1">
      <alignment horizontal="right" vertical="center"/>
    </xf>
    <xf numFmtId="168" fontId="18" fillId="4" borderId="1" xfId="0" applyNumberFormat="1" applyFont="1" applyFill="1" applyBorder="1" applyAlignment="1">
      <alignment horizontal="right" vertical="center"/>
    </xf>
    <xf numFmtId="0" fontId="17" fillId="4" borderId="1" xfId="0" applyFont="1" applyFill="1" applyBorder="1" applyAlignment="1">
      <alignment horizontal="left" vertical="center"/>
    </xf>
    <xf numFmtId="3" fontId="15" fillId="0" borderId="1" xfId="0" applyNumberFormat="1" applyFont="1" applyBorder="1" applyAlignment="1">
      <alignment horizontal="right" vertical="center"/>
    </xf>
    <xf numFmtId="164" fontId="15" fillId="0" borderId="1" xfId="0" applyNumberFormat="1" applyFont="1" applyBorder="1" applyAlignment="1">
      <alignment horizontal="right" vertical="center"/>
    </xf>
    <xf numFmtId="167" fontId="15" fillId="0" borderId="1" xfId="0" applyNumberFormat="1" applyFont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166" fontId="7" fillId="2" borderId="1" xfId="0" applyNumberFormat="1" applyFont="1" applyFill="1" applyBorder="1" applyAlignment="1">
      <alignment horizontal="right" vertical="center"/>
    </xf>
    <xf numFmtId="0" fontId="15" fillId="2" borderId="1" xfId="0" applyFont="1" applyFill="1" applyBorder="1" applyAlignment="1">
      <alignment vertical="center"/>
    </xf>
    <xf numFmtId="165" fontId="15" fillId="0" borderId="1" xfId="0" applyNumberFormat="1" applyFont="1" applyBorder="1" applyAlignment="1">
      <alignment horizontal="right" vertical="center"/>
    </xf>
    <xf numFmtId="168" fontId="15" fillId="4" borderId="1" xfId="0" applyNumberFormat="1" applyFont="1" applyFill="1" applyBorder="1" applyAlignment="1">
      <alignment horizontal="right" vertical="center"/>
    </xf>
    <xf numFmtId="0" fontId="15" fillId="0" borderId="1" xfId="0" applyFont="1" applyBorder="1" applyAlignment="1">
      <alignment vertical="center"/>
    </xf>
    <xf numFmtId="3" fontId="18" fillId="0" borderId="1" xfId="0" applyNumberFormat="1" applyFont="1" applyBorder="1" applyAlignment="1">
      <alignment horizontal="right" vertical="center"/>
    </xf>
    <xf numFmtId="0" fontId="7" fillId="3" borderId="1" xfId="0" applyFont="1" applyFill="1" applyBorder="1" applyAlignment="1">
      <alignment horizontal="left" vertical="center"/>
    </xf>
    <xf numFmtId="166" fontId="7" fillId="3" borderId="1" xfId="0" applyNumberFormat="1" applyFont="1" applyFill="1" applyBorder="1" applyAlignment="1">
      <alignment horizontal="right" vertical="center"/>
    </xf>
    <xf numFmtId="0" fontId="15" fillId="4" borderId="1" xfId="0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horizontal="left" vertical="center"/>
    </xf>
    <xf numFmtId="168" fontId="7" fillId="2" borderId="1" xfId="0" applyNumberFormat="1" applyFont="1" applyFill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/>
    <xf numFmtId="0" fontId="6" fillId="0" borderId="0" xfId="0" applyFont="1" applyAlignment="1">
      <alignment horizontal="left" vertical="center"/>
    </xf>
    <xf numFmtId="0" fontId="7" fillId="3" borderId="0" xfId="0" applyFont="1" applyFill="1" applyAlignment="1">
      <alignment horizontal="left" vertical="center" indent="1"/>
    </xf>
    <xf numFmtId="0" fontId="2" fillId="0" borderId="0" xfId="0" applyFont="1" applyAlignment="1">
      <alignment horizontal="center"/>
    </xf>
    <xf numFmtId="0" fontId="4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8" fillId="4" borderId="0" xfId="0" applyFont="1" applyFill="1" applyAlignment="1">
      <alignment horizontal="left" vertical="center" wrapText="1" indent="1"/>
    </xf>
    <xf numFmtId="0" fontId="11" fillId="0" borderId="0" xfId="0" applyFont="1" applyAlignment="1">
      <alignment horizontal="left" vertical="center"/>
    </xf>
    <xf numFmtId="0" fontId="6" fillId="0" borderId="0" xfId="0" applyFont="1" applyAlignment="1">
      <alignment horizontal="left" vertical="top" wrapText="1"/>
    </xf>
    <xf numFmtId="0" fontId="10" fillId="3" borderId="0" xfId="0" applyFont="1" applyFill="1" applyAlignment="1">
      <alignment horizontal="left" vertical="center" indent="1"/>
    </xf>
    <xf numFmtId="0" fontId="9" fillId="2" borderId="0" xfId="0" applyFont="1" applyFill="1" applyAlignment="1">
      <alignment horizontal="left" vertical="center" indent="1"/>
    </xf>
    <xf numFmtId="0" fontId="11" fillId="4" borderId="0" xfId="0" applyFont="1" applyFill="1" applyAlignment="1">
      <alignment horizontal="left" vertical="center" wrapText="1" indent="1"/>
    </xf>
    <xf numFmtId="0" fontId="17" fillId="0" borderId="0" xfId="0" applyFont="1" applyAlignment="1">
      <alignment horizontal="left" vertical="top" wrapText="1"/>
    </xf>
    <xf numFmtId="0" fontId="19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17"/>
  <sheetViews>
    <sheetView showGridLines="0" zoomScale="140" zoomScaleNormal="140" workbookViewId="0"/>
  </sheetViews>
  <sheetFormatPr baseColWidth="10" defaultColWidth="8.83203125" defaultRowHeight="15" x14ac:dyDescent="0.2"/>
  <cols>
    <col min="1" max="1" width="3" customWidth="1"/>
    <col min="2" max="2" width="26" customWidth="1"/>
    <col min="3" max="3" width="40" customWidth="1"/>
    <col min="4" max="4" width="24" customWidth="1"/>
    <col min="5" max="5" width="3" customWidth="1"/>
  </cols>
  <sheetData>
    <row r="2" spans="2:4" x14ac:dyDescent="0.2">
      <c r="B2" s="41" t="s">
        <v>0</v>
      </c>
      <c r="C2" s="42"/>
      <c r="D2" s="42"/>
    </row>
    <row r="3" spans="2:4" x14ac:dyDescent="0.2">
      <c r="B3" s="42"/>
      <c r="C3" s="42"/>
      <c r="D3" s="42"/>
    </row>
    <row r="4" spans="2:4" ht="18" x14ac:dyDescent="0.2">
      <c r="B4" s="45" t="s">
        <v>1</v>
      </c>
      <c r="C4" s="42"/>
      <c r="D4" s="42"/>
    </row>
    <row r="6" spans="2:4" ht="30" customHeight="1" x14ac:dyDescent="0.2">
      <c r="B6" s="47" t="s">
        <v>2</v>
      </c>
      <c r="C6" s="42"/>
      <c r="D6" s="42"/>
    </row>
    <row r="7" spans="2:4" ht="22" customHeight="1" x14ac:dyDescent="0.2">
      <c r="B7" s="46" t="s">
        <v>3</v>
      </c>
      <c r="C7" s="42"/>
      <c r="D7" s="42"/>
    </row>
    <row r="9" spans="2:4" ht="22" customHeight="1" x14ac:dyDescent="0.2">
      <c r="B9" s="1" t="s">
        <v>4</v>
      </c>
      <c r="C9" s="43" t="s">
        <v>5</v>
      </c>
      <c r="D9" s="42"/>
    </row>
    <row r="10" spans="2:4" ht="22" customHeight="1" x14ac:dyDescent="0.2">
      <c r="B10" s="1" t="s">
        <v>6</v>
      </c>
      <c r="C10" s="43" t="s">
        <v>7</v>
      </c>
      <c r="D10" s="42"/>
    </row>
    <row r="11" spans="2:4" ht="22" customHeight="1" x14ac:dyDescent="0.2">
      <c r="B11" s="1" t="s">
        <v>8</v>
      </c>
      <c r="C11" s="43" t="s">
        <v>9</v>
      </c>
      <c r="D11" s="42"/>
    </row>
    <row r="12" spans="2:4" ht="22" customHeight="1" x14ac:dyDescent="0.2">
      <c r="B12" s="1" t="s">
        <v>10</v>
      </c>
      <c r="C12" s="43" t="s">
        <v>11</v>
      </c>
      <c r="D12" s="42"/>
    </row>
    <row r="14" spans="2:4" ht="20" customHeight="1" x14ac:dyDescent="0.2">
      <c r="B14" s="44" t="s">
        <v>12</v>
      </c>
      <c r="C14" s="42"/>
      <c r="D14" s="42"/>
    </row>
    <row r="15" spans="2:4" ht="22" customHeight="1" x14ac:dyDescent="0.2">
      <c r="B15" s="48" t="s">
        <v>13</v>
      </c>
      <c r="C15" s="42"/>
      <c r="D15" s="42"/>
    </row>
    <row r="16" spans="2:4" ht="22" customHeight="1" x14ac:dyDescent="0.2">
      <c r="B16" s="42"/>
      <c r="C16" s="42"/>
      <c r="D16" s="42"/>
    </row>
    <row r="17" spans="2:4" ht="22" customHeight="1" x14ac:dyDescent="0.2">
      <c r="B17" s="42"/>
      <c r="C17" s="42"/>
      <c r="D17" s="42"/>
    </row>
  </sheetData>
  <mergeCells count="10">
    <mergeCell ref="B15:D17"/>
    <mergeCell ref="B2:D3"/>
    <mergeCell ref="C12:D12"/>
    <mergeCell ref="B14:D14"/>
    <mergeCell ref="C10:D10"/>
    <mergeCell ref="C11:D11"/>
    <mergeCell ref="B4:D4"/>
    <mergeCell ref="C9:D9"/>
    <mergeCell ref="B7:D7"/>
    <mergeCell ref="B6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6"/>
  <sheetViews>
    <sheetView showGridLines="0" topLeftCell="A5" zoomScale="110" zoomScaleNormal="110" workbookViewId="0">
      <selection activeCell="C29" sqref="C29"/>
    </sheetView>
  </sheetViews>
  <sheetFormatPr baseColWidth="10" defaultColWidth="8.83203125" defaultRowHeight="15" x14ac:dyDescent="0.2"/>
  <cols>
    <col min="1" max="1" width="3" customWidth="1"/>
    <col min="2" max="5" width="30" customWidth="1"/>
    <col min="6" max="6" width="3" customWidth="1"/>
  </cols>
  <sheetData>
    <row r="1" spans="1:5" ht="34" customHeight="1" x14ac:dyDescent="0.2">
      <c r="A1" s="52" t="s">
        <v>14</v>
      </c>
      <c r="B1" s="42"/>
      <c r="C1" s="42"/>
      <c r="D1" s="42"/>
      <c r="E1" s="42"/>
    </row>
    <row r="2" spans="1:5" ht="18" customHeight="1" x14ac:dyDescent="0.2">
      <c r="A2" s="51" t="s">
        <v>15</v>
      </c>
      <c r="B2" s="42"/>
      <c r="C2" s="42"/>
      <c r="D2" s="42"/>
      <c r="E2" s="42"/>
    </row>
    <row r="4" spans="1:5" ht="20" customHeight="1" x14ac:dyDescent="0.2">
      <c r="B4" s="49" t="s">
        <v>16</v>
      </c>
      <c r="C4" s="42"/>
      <c r="D4" s="42"/>
      <c r="E4" s="42"/>
    </row>
    <row r="5" spans="1:5" ht="30" customHeight="1" x14ac:dyDescent="0.2">
      <c r="B5" s="50" t="s">
        <v>17</v>
      </c>
      <c r="C5" s="42"/>
      <c r="D5" s="42"/>
      <c r="E5" s="42"/>
    </row>
    <row r="6" spans="1:5" ht="30" customHeight="1" x14ac:dyDescent="0.2">
      <c r="B6" s="42"/>
      <c r="C6" s="42"/>
      <c r="D6" s="42"/>
      <c r="E6" s="42"/>
    </row>
    <row r="8" spans="1:5" ht="20" customHeight="1" x14ac:dyDescent="0.2">
      <c r="B8" s="49" t="s">
        <v>18</v>
      </c>
      <c r="C8" s="42"/>
      <c r="D8" s="42"/>
      <c r="E8" s="42"/>
    </row>
    <row r="9" spans="1:5" ht="30" customHeight="1" x14ac:dyDescent="0.2">
      <c r="B9" s="50" t="s">
        <v>19</v>
      </c>
      <c r="C9" s="42"/>
      <c r="D9" s="42"/>
      <c r="E9" s="42"/>
    </row>
    <row r="10" spans="1:5" ht="30" customHeight="1" x14ac:dyDescent="0.2">
      <c r="B10" s="42"/>
      <c r="C10" s="42"/>
      <c r="D10" s="42"/>
      <c r="E10" s="42"/>
    </row>
    <row r="12" spans="1:5" ht="20" customHeight="1" x14ac:dyDescent="0.2">
      <c r="A12" s="44" t="s">
        <v>20</v>
      </c>
      <c r="B12" s="42"/>
      <c r="C12" s="42"/>
      <c r="D12" s="42"/>
      <c r="E12" s="42"/>
    </row>
    <row r="13" spans="1:5" ht="46" customHeight="1" x14ac:dyDescent="0.2">
      <c r="B13" s="2" t="s">
        <v>21</v>
      </c>
      <c r="C13" s="2" t="s">
        <v>22</v>
      </c>
      <c r="D13" s="2" t="s">
        <v>23</v>
      </c>
      <c r="E13" s="2" t="s">
        <v>24</v>
      </c>
    </row>
    <row r="14" spans="1:5" ht="32" customHeight="1" x14ac:dyDescent="0.2">
      <c r="B14" s="3" t="s">
        <v>25</v>
      </c>
      <c r="C14" s="3" t="s">
        <v>26</v>
      </c>
      <c r="D14" s="3" t="s">
        <v>27</v>
      </c>
      <c r="E14" s="3" t="s">
        <v>28</v>
      </c>
    </row>
    <row r="16" spans="1:5" ht="18" customHeight="1" x14ac:dyDescent="0.2">
      <c r="B16" s="50" t="s">
        <v>29</v>
      </c>
      <c r="C16" s="42"/>
      <c r="D16" s="42"/>
      <c r="E16" s="42"/>
    </row>
    <row r="17" spans="1:5" ht="18" customHeight="1" x14ac:dyDescent="0.2">
      <c r="B17" s="42"/>
      <c r="C17" s="42"/>
      <c r="D17" s="42"/>
      <c r="E17" s="42"/>
    </row>
    <row r="18" spans="1:5" ht="18" customHeight="1" x14ac:dyDescent="0.2">
      <c r="B18" s="50" t="s">
        <v>30</v>
      </c>
      <c r="C18" s="42"/>
      <c r="D18" s="42"/>
      <c r="E18" s="42"/>
    </row>
    <row r="19" spans="1:5" ht="18" customHeight="1" x14ac:dyDescent="0.2">
      <c r="B19" s="42"/>
      <c r="C19" s="42"/>
      <c r="D19" s="42"/>
      <c r="E19" s="42"/>
    </row>
    <row r="20" spans="1:5" ht="18" customHeight="1" x14ac:dyDescent="0.2">
      <c r="B20" s="50" t="s">
        <v>31</v>
      </c>
      <c r="C20" s="42"/>
      <c r="D20" s="42"/>
      <c r="E20" s="42"/>
    </row>
    <row r="21" spans="1:5" ht="18" customHeight="1" x14ac:dyDescent="0.2">
      <c r="B21" s="42"/>
      <c r="C21" s="42"/>
      <c r="D21" s="42"/>
      <c r="E21" s="42"/>
    </row>
    <row r="23" spans="1:5" ht="20" customHeight="1" x14ac:dyDescent="0.2">
      <c r="A23" s="44" t="s">
        <v>32</v>
      </c>
      <c r="B23" s="42"/>
      <c r="C23" s="42"/>
      <c r="D23" s="42"/>
      <c r="E23" s="42"/>
    </row>
    <row r="24" spans="1:5" ht="24" customHeight="1" x14ac:dyDescent="0.2">
      <c r="B24" s="53" t="s">
        <v>33</v>
      </c>
      <c r="C24" s="42"/>
      <c r="D24" s="42"/>
      <c r="E24" s="42"/>
    </row>
    <row r="25" spans="1:5" ht="24" customHeight="1" x14ac:dyDescent="0.2">
      <c r="B25" s="42"/>
      <c r="C25" s="42"/>
      <c r="D25" s="42"/>
      <c r="E25" s="42"/>
    </row>
    <row r="26" spans="1:5" ht="24" customHeight="1" x14ac:dyDescent="0.2">
      <c r="B26" s="42"/>
      <c r="C26" s="42"/>
      <c r="D26" s="42"/>
      <c r="E26" s="42"/>
    </row>
  </sheetData>
  <mergeCells count="12">
    <mergeCell ref="B18:E19"/>
    <mergeCell ref="B16:E17"/>
    <mergeCell ref="A1:E1"/>
    <mergeCell ref="A23:E23"/>
    <mergeCell ref="B24:E26"/>
    <mergeCell ref="B5:E6"/>
    <mergeCell ref="B20:E21"/>
    <mergeCell ref="A12:E12"/>
    <mergeCell ref="B8:E8"/>
    <mergeCell ref="B9:E10"/>
    <mergeCell ref="B4:E4"/>
    <mergeCell ref="A2:E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6"/>
  <sheetViews>
    <sheetView showGridLines="0" zoomScale="120" zoomScaleNormal="120" workbookViewId="0">
      <selection activeCell="D21" sqref="D21"/>
    </sheetView>
  </sheetViews>
  <sheetFormatPr baseColWidth="10" defaultColWidth="8.83203125" defaultRowHeight="15" x14ac:dyDescent="0.2"/>
  <cols>
    <col min="1" max="1" width="42" customWidth="1"/>
    <col min="2" max="2" width="16" customWidth="1"/>
    <col min="3" max="3" width="12" customWidth="1"/>
    <col min="4" max="4" width="44" customWidth="1"/>
  </cols>
  <sheetData>
    <row r="1" spans="1:4" ht="34" customHeight="1" x14ac:dyDescent="0.2">
      <c r="A1" s="52" t="s">
        <v>34</v>
      </c>
      <c r="B1" s="42"/>
      <c r="C1" s="42"/>
      <c r="D1" s="42"/>
    </row>
    <row r="2" spans="1:4" ht="18" customHeight="1" x14ac:dyDescent="0.2">
      <c r="A2" s="51" t="s">
        <v>35</v>
      </c>
      <c r="B2" s="42"/>
      <c r="C2" s="42"/>
      <c r="D2" s="42"/>
    </row>
    <row r="3" spans="1:4" ht="26" customHeight="1" x14ac:dyDescent="0.2">
      <c r="A3" s="4" t="s">
        <v>36</v>
      </c>
      <c r="B3" s="4" t="s">
        <v>37</v>
      </c>
      <c r="C3" s="4" t="s">
        <v>38</v>
      </c>
      <c r="D3" s="4" t="s">
        <v>39</v>
      </c>
    </row>
    <row r="4" spans="1:4" ht="20" customHeight="1" x14ac:dyDescent="0.2">
      <c r="A4" s="44" t="s">
        <v>40</v>
      </c>
      <c r="B4" s="42"/>
      <c r="C4" s="42"/>
      <c r="D4" s="42"/>
    </row>
    <row r="5" spans="1:4" x14ac:dyDescent="0.2">
      <c r="A5" s="5" t="s">
        <v>41</v>
      </c>
      <c r="B5" s="6">
        <v>15.5</v>
      </c>
      <c r="C5" s="7" t="s">
        <v>42</v>
      </c>
      <c r="D5" s="8" t="s">
        <v>43</v>
      </c>
    </row>
    <row r="6" spans="1:4" x14ac:dyDescent="0.2">
      <c r="A6" s="5" t="s">
        <v>44</v>
      </c>
      <c r="B6" s="9">
        <v>8775</v>
      </c>
      <c r="C6" s="7" t="s">
        <v>42</v>
      </c>
      <c r="D6" s="8" t="s">
        <v>43</v>
      </c>
    </row>
    <row r="7" spans="1:4" ht="20" customHeight="1" x14ac:dyDescent="0.2">
      <c r="A7" s="44" t="s">
        <v>45</v>
      </c>
      <c r="B7" s="42"/>
      <c r="C7" s="42"/>
      <c r="D7" s="42"/>
    </row>
    <row r="9" spans="1:4" x14ac:dyDescent="0.2">
      <c r="A9" s="5" t="s">
        <v>46</v>
      </c>
      <c r="B9" s="10">
        <v>2500</v>
      </c>
      <c r="C9" s="7" t="s">
        <v>47</v>
      </c>
      <c r="D9" s="8" t="s">
        <v>48</v>
      </c>
    </row>
    <row r="10" spans="1:4" x14ac:dyDescent="0.2">
      <c r="A10" s="5" t="s">
        <v>49</v>
      </c>
      <c r="B10" s="10">
        <v>3500</v>
      </c>
      <c r="C10" s="7" t="s">
        <v>47</v>
      </c>
      <c r="D10" s="8" t="s">
        <v>48</v>
      </c>
    </row>
    <row r="11" spans="1:4" x14ac:dyDescent="0.2">
      <c r="A11" s="5" t="s">
        <v>50</v>
      </c>
      <c r="B11" s="11">
        <f>(B9+B10)/2</f>
        <v>3000</v>
      </c>
      <c r="C11" s="7" t="s">
        <v>47</v>
      </c>
      <c r="D11" s="8" t="s">
        <v>51</v>
      </c>
    </row>
    <row r="12" spans="1:4" x14ac:dyDescent="0.2">
      <c r="A12" s="5" t="s">
        <v>52</v>
      </c>
      <c r="B12" s="12">
        <f>B11*B5</f>
        <v>46500</v>
      </c>
      <c r="C12" s="7" t="s">
        <v>42</v>
      </c>
      <c r="D12" s="8" t="s">
        <v>53</v>
      </c>
    </row>
    <row r="13" spans="1:4" x14ac:dyDescent="0.2">
      <c r="A13" s="5" t="s">
        <v>54</v>
      </c>
      <c r="B13" s="13">
        <v>180000</v>
      </c>
      <c r="C13" s="7" t="s">
        <v>42</v>
      </c>
      <c r="D13" s="8" t="s">
        <v>55</v>
      </c>
    </row>
    <row r="14" spans="1:4" x14ac:dyDescent="0.2">
      <c r="A14" s="5" t="s">
        <v>56</v>
      </c>
      <c r="B14" s="13">
        <v>250000</v>
      </c>
      <c r="C14" s="7" t="s">
        <v>42</v>
      </c>
      <c r="D14" s="8" t="s">
        <v>55</v>
      </c>
    </row>
    <row r="15" spans="1:4" x14ac:dyDescent="0.2">
      <c r="A15" s="5" t="s">
        <v>57</v>
      </c>
      <c r="B15" s="12">
        <f>(B13+B14)/2</f>
        <v>215000</v>
      </c>
      <c r="C15" s="7" t="s">
        <v>42</v>
      </c>
      <c r="D15" s="8" t="s">
        <v>51</v>
      </c>
    </row>
    <row r="16" spans="1:4" x14ac:dyDescent="0.2">
      <c r="A16" s="5" t="s">
        <v>58</v>
      </c>
      <c r="B16" s="12">
        <f>B15</f>
        <v>215000</v>
      </c>
      <c r="C16" s="7" t="s">
        <v>42</v>
      </c>
      <c r="D16" s="8" t="s">
        <v>59</v>
      </c>
    </row>
    <row r="17" spans="1:4" ht="20" customHeight="1" x14ac:dyDescent="0.2">
      <c r="A17" s="44" t="s">
        <v>60</v>
      </c>
      <c r="B17" s="42"/>
      <c r="C17" s="42"/>
      <c r="D17" s="42"/>
    </row>
    <row r="19" spans="1:4" x14ac:dyDescent="0.2">
      <c r="A19" s="5" t="s">
        <v>61</v>
      </c>
      <c r="B19" s="13">
        <v>70000</v>
      </c>
      <c r="C19" s="7" t="s">
        <v>42</v>
      </c>
      <c r="D19" s="8" t="s">
        <v>62</v>
      </c>
    </row>
    <row r="20" spans="1:4" x14ac:dyDescent="0.2">
      <c r="A20" s="5" t="s">
        <v>63</v>
      </c>
      <c r="B20" s="14">
        <v>5</v>
      </c>
      <c r="C20" s="7" t="s">
        <v>64</v>
      </c>
      <c r="D20" s="8" t="s">
        <v>48</v>
      </c>
    </row>
    <row r="21" spans="1:4" x14ac:dyDescent="0.2">
      <c r="A21" s="5" t="s">
        <v>65</v>
      </c>
      <c r="B21" s="14">
        <v>10</v>
      </c>
      <c r="C21" s="7" t="s">
        <v>64</v>
      </c>
      <c r="D21" s="8" t="s">
        <v>48</v>
      </c>
    </row>
    <row r="22" spans="1:4" x14ac:dyDescent="0.2">
      <c r="A22" s="5" t="s">
        <v>66</v>
      </c>
      <c r="B22" s="15">
        <f>(B20+B21)/2</f>
        <v>7.5</v>
      </c>
      <c r="C22" s="7" t="s">
        <v>64</v>
      </c>
      <c r="D22" s="8" t="s">
        <v>51</v>
      </c>
    </row>
    <row r="23" spans="1:4" x14ac:dyDescent="0.2">
      <c r="A23" s="5" t="s">
        <v>67</v>
      </c>
      <c r="B23" s="12">
        <f>B22*B6</f>
        <v>65812.5</v>
      </c>
      <c r="C23" s="7" t="s">
        <v>68</v>
      </c>
      <c r="D23" s="8" t="s">
        <v>69</v>
      </c>
    </row>
    <row r="24" spans="1:4" ht="20" customHeight="1" x14ac:dyDescent="0.2">
      <c r="A24" s="44" t="s">
        <v>70</v>
      </c>
      <c r="B24" s="42"/>
      <c r="C24" s="42"/>
      <c r="D24" s="42"/>
    </row>
    <row r="26" spans="1:4" x14ac:dyDescent="0.2">
      <c r="A26" s="5" t="s">
        <v>71</v>
      </c>
      <c r="B26" s="9">
        <v>30</v>
      </c>
      <c r="C26" s="7" t="s">
        <v>72</v>
      </c>
      <c r="D26" s="8" t="s">
        <v>73</v>
      </c>
    </row>
    <row r="27" spans="1:4" x14ac:dyDescent="0.2">
      <c r="A27" s="5" t="s">
        <v>74</v>
      </c>
      <c r="B27" s="16">
        <v>0.7</v>
      </c>
      <c r="C27" s="7" t="s">
        <v>75</v>
      </c>
      <c r="D27" s="8" t="s">
        <v>76</v>
      </c>
    </row>
    <row r="28" spans="1:4" x14ac:dyDescent="0.2">
      <c r="A28" s="5" t="s">
        <v>77</v>
      </c>
      <c r="B28" s="17">
        <f>B26*B27</f>
        <v>21</v>
      </c>
      <c r="C28" s="7" t="s">
        <v>72</v>
      </c>
      <c r="D28" s="8" t="s">
        <v>51</v>
      </c>
    </row>
    <row r="29" spans="1:4" x14ac:dyDescent="0.2">
      <c r="A29" s="5" t="s">
        <v>78</v>
      </c>
      <c r="B29" s="9">
        <v>30</v>
      </c>
      <c r="C29" s="7" t="s">
        <v>79</v>
      </c>
      <c r="D29" s="8" t="s">
        <v>48</v>
      </c>
    </row>
    <row r="30" spans="1:4" ht="20" customHeight="1" x14ac:dyDescent="0.2">
      <c r="A30" s="44" t="s">
        <v>80</v>
      </c>
      <c r="B30" s="42"/>
      <c r="C30" s="42"/>
      <c r="D30" s="42"/>
    </row>
    <row r="31" spans="1:4" x14ac:dyDescent="0.2">
      <c r="A31" s="5" t="s">
        <v>81</v>
      </c>
      <c r="B31" s="16">
        <v>0.5</v>
      </c>
      <c r="C31" s="7" t="s">
        <v>75</v>
      </c>
      <c r="D31" s="8" t="s">
        <v>82</v>
      </c>
    </row>
    <row r="32" spans="1:4" x14ac:dyDescent="0.2">
      <c r="A32" s="5" t="s">
        <v>83</v>
      </c>
      <c r="B32" s="16">
        <v>0.75</v>
      </c>
      <c r="C32" s="7" t="s">
        <v>75</v>
      </c>
      <c r="D32" s="8"/>
    </row>
    <row r="33" spans="1:4" x14ac:dyDescent="0.2">
      <c r="A33" s="5" t="s">
        <v>84</v>
      </c>
      <c r="B33" s="16">
        <v>1</v>
      </c>
      <c r="C33" s="7" t="s">
        <v>75</v>
      </c>
      <c r="D33" s="8"/>
    </row>
    <row r="34" spans="1:4" x14ac:dyDescent="0.2">
      <c r="A34" s="5" t="s">
        <v>85</v>
      </c>
      <c r="B34" s="16">
        <v>1</v>
      </c>
      <c r="C34" s="7" t="s">
        <v>75</v>
      </c>
      <c r="D34" s="8"/>
    </row>
    <row r="35" spans="1:4" x14ac:dyDescent="0.2">
      <c r="A35" s="5" t="s">
        <v>86</v>
      </c>
      <c r="B35" s="16">
        <v>1</v>
      </c>
      <c r="C35" s="7" t="s">
        <v>75</v>
      </c>
      <c r="D35" s="8"/>
    </row>
    <row r="36" spans="1:4" x14ac:dyDescent="0.2">
      <c r="A36" s="5" t="s">
        <v>87</v>
      </c>
      <c r="B36" s="16">
        <v>1</v>
      </c>
      <c r="C36" s="7" t="s">
        <v>75</v>
      </c>
      <c r="D36" s="8"/>
    </row>
  </sheetData>
  <mergeCells count="7">
    <mergeCell ref="A1:D1"/>
    <mergeCell ref="A17:D17"/>
    <mergeCell ref="A4:D4"/>
    <mergeCell ref="A30:D30"/>
    <mergeCell ref="A7:D7"/>
    <mergeCell ref="A24:D24"/>
    <mergeCell ref="A2:D2"/>
  </mergeCells>
  <pageMargins left="0.75" right="0.75" top="1" bottom="1" header="0.5" footer="0.5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8"/>
  <sheetViews>
    <sheetView showGridLines="0" zoomScale="110" zoomScaleNormal="110" workbookViewId="0">
      <selection activeCell="C23" sqref="C23"/>
    </sheetView>
  </sheetViews>
  <sheetFormatPr baseColWidth="10" defaultColWidth="8.83203125" defaultRowHeight="15" x14ac:dyDescent="0.2"/>
  <cols>
    <col min="1" max="1" width="40" customWidth="1"/>
    <col min="2" max="2" width="29" bestFit="1" customWidth="1"/>
    <col min="3" max="6" width="16" customWidth="1"/>
    <col min="7" max="7" width="12" customWidth="1"/>
  </cols>
  <sheetData>
    <row r="1" spans="1:7" ht="34" customHeight="1" x14ac:dyDescent="0.2">
      <c r="A1" s="52" t="s">
        <v>88</v>
      </c>
      <c r="B1" s="42"/>
      <c r="C1" s="42"/>
      <c r="D1" s="42"/>
      <c r="E1" s="42"/>
      <c r="F1" s="42"/>
      <c r="G1" s="42"/>
    </row>
    <row r="2" spans="1:7" ht="18" customHeight="1" x14ac:dyDescent="0.2">
      <c r="A2" s="51" t="s">
        <v>89</v>
      </c>
      <c r="B2" s="42"/>
      <c r="C2" s="42"/>
      <c r="D2" s="42"/>
      <c r="E2" s="42"/>
      <c r="F2" s="42"/>
      <c r="G2" s="42"/>
    </row>
    <row r="3" spans="1:7" ht="26" customHeight="1" x14ac:dyDescent="0.2">
      <c r="A3" s="4" t="s">
        <v>90</v>
      </c>
      <c r="B3" s="4" t="s">
        <v>91</v>
      </c>
      <c r="C3" s="4" t="s">
        <v>92</v>
      </c>
      <c r="D3" s="4" t="s">
        <v>93</v>
      </c>
      <c r="E3" s="4" t="s">
        <v>94</v>
      </c>
      <c r="F3" s="4" t="s">
        <v>95</v>
      </c>
      <c r="G3" s="4" t="s">
        <v>96</v>
      </c>
    </row>
    <row r="4" spans="1:7" x14ac:dyDescent="0.2">
      <c r="A4" s="5" t="s">
        <v>97</v>
      </c>
      <c r="B4" s="5" t="s">
        <v>98</v>
      </c>
      <c r="C4" s="10">
        <v>3000</v>
      </c>
      <c r="D4" s="18">
        <f>C4*Hypotheses!$B$5</f>
        <v>46500</v>
      </c>
      <c r="E4" s="13">
        <v>215000</v>
      </c>
      <c r="F4" s="18">
        <f t="shared" ref="F4:F17" si="0">E4-D4</f>
        <v>168500</v>
      </c>
      <c r="G4" s="19">
        <f t="shared" ref="G4:G18" si="1">F4/E4</f>
        <v>0.78372093023255818</v>
      </c>
    </row>
    <row r="5" spans="1:7" x14ac:dyDescent="0.2">
      <c r="A5" s="5" t="s">
        <v>99</v>
      </c>
      <c r="B5" s="5" t="s">
        <v>98</v>
      </c>
      <c r="C5" s="10">
        <v>3000</v>
      </c>
      <c r="D5" s="18">
        <f>C5*Hypotheses!$B$5</f>
        <v>46500</v>
      </c>
      <c r="E5" s="13">
        <v>215000</v>
      </c>
      <c r="F5" s="18">
        <f t="shared" si="0"/>
        <v>168500</v>
      </c>
      <c r="G5" s="19">
        <f t="shared" si="1"/>
        <v>0.78372093023255818</v>
      </c>
    </row>
    <row r="6" spans="1:7" x14ac:dyDescent="0.2">
      <c r="A6" s="5" t="s">
        <v>100</v>
      </c>
      <c r="B6" s="5" t="s">
        <v>98</v>
      </c>
      <c r="C6" s="10">
        <v>3000</v>
      </c>
      <c r="D6" s="18">
        <f>C6*Hypotheses!$B$5</f>
        <v>46500</v>
      </c>
      <c r="E6" s="13">
        <v>215000</v>
      </c>
      <c r="F6" s="18">
        <f t="shared" si="0"/>
        <v>168500</v>
      </c>
      <c r="G6" s="19">
        <f t="shared" si="1"/>
        <v>0.78372093023255818</v>
      </c>
    </row>
    <row r="7" spans="1:7" x14ac:dyDescent="0.2">
      <c r="A7" s="5" t="s">
        <v>101</v>
      </c>
      <c r="B7" s="5" t="s">
        <v>102</v>
      </c>
      <c r="C7" s="10">
        <v>3000</v>
      </c>
      <c r="D7" s="18">
        <f>C7*Hypotheses!$B$5</f>
        <v>46500</v>
      </c>
      <c r="E7" s="13">
        <v>215000</v>
      </c>
      <c r="F7" s="18">
        <f t="shared" si="0"/>
        <v>168500</v>
      </c>
      <c r="G7" s="19">
        <f t="shared" si="1"/>
        <v>0.78372093023255818</v>
      </c>
    </row>
    <row r="8" spans="1:7" x14ac:dyDescent="0.2">
      <c r="A8" s="5" t="s">
        <v>103</v>
      </c>
      <c r="B8" s="5" t="s">
        <v>102</v>
      </c>
      <c r="C8" s="10">
        <v>3000</v>
      </c>
      <c r="D8" s="18">
        <f>C8*Hypotheses!$B$5</f>
        <v>46500</v>
      </c>
      <c r="E8" s="13">
        <v>215000</v>
      </c>
      <c r="F8" s="18">
        <f t="shared" si="0"/>
        <v>168500</v>
      </c>
      <c r="G8" s="19">
        <f t="shared" si="1"/>
        <v>0.78372093023255818</v>
      </c>
    </row>
    <row r="9" spans="1:7" x14ac:dyDescent="0.2">
      <c r="A9" s="5" t="s">
        <v>104</v>
      </c>
      <c r="B9" s="5" t="s">
        <v>102</v>
      </c>
      <c r="C9" s="10">
        <v>3000</v>
      </c>
      <c r="D9" s="18">
        <f>C9*Hypotheses!$B$5</f>
        <v>46500</v>
      </c>
      <c r="E9" s="13">
        <v>215000</v>
      </c>
      <c r="F9" s="18">
        <f t="shared" si="0"/>
        <v>168500</v>
      </c>
      <c r="G9" s="19">
        <f t="shared" si="1"/>
        <v>0.78372093023255818</v>
      </c>
    </row>
    <row r="10" spans="1:7" x14ac:dyDescent="0.2">
      <c r="A10" s="5" t="s">
        <v>105</v>
      </c>
      <c r="B10" s="5" t="s">
        <v>102</v>
      </c>
      <c r="C10" s="10">
        <v>3000</v>
      </c>
      <c r="D10" s="18">
        <f>C10*Hypotheses!$B$5</f>
        <v>46500</v>
      </c>
      <c r="E10" s="13">
        <v>215000</v>
      </c>
      <c r="F10" s="18">
        <f t="shared" si="0"/>
        <v>168500</v>
      </c>
      <c r="G10" s="19">
        <f t="shared" si="1"/>
        <v>0.78372093023255818</v>
      </c>
    </row>
    <row r="11" spans="1:7" x14ac:dyDescent="0.2">
      <c r="A11" s="5" t="s">
        <v>106</v>
      </c>
      <c r="B11" s="5" t="s">
        <v>107</v>
      </c>
      <c r="C11" s="10">
        <v>3000</v>
      </c>
      <c r="D11" s="18">
        <f>C11*Hypotheses!$B$5</f>
        <v>46500</v>
      </c>
      <c r="E11" s="13">
        <v>215000</v>
      </c>
      <c r="F11" s="18">
        <f t="shared" si="0"/>
        <v>168500</v>
      </c>
      <c r="G11" s="19">
        <f t="shared" si="1"/>
        <v>0.78372093023255818</v>
      </c>
    </row>
    <row r="12" spans="1:7" x14ac:dyDescent="0.2">
      <c r="A12" s="5" t="s">
        <v>108</v>
      </c>
      <c r="B12" s="5" t="s">
        <v>107</v>
      </c>
      <c r="C12" s="10">
        <v>3000</v>
      </c>
      <c r="D12" s="18">
        <f>C12*Hypotheses!$B$5</f>
        <v>46500</v>
      </c>
      <c r="E12" s="13">
        <v>215000</v>
      </c>
      <c r="F12" s="18">
        <f t="shared" si="0"/>
        <v>168500</v>
      </c>
      <c r="G12" s="19">
        <f t="shared" si="1"/>
        <v>0.78372093023255818</v>
      </c>
    </row>
    <row r="13" spans="1:7" x14ac:dyDescent="0.2">
      <c r="A13" s="5" t="s">
        <v>109</v>
      </c>
      <c r="B13" s="5" t="s">
        <v>107</v>
      </c>
      <c r="C13" s="10">
        <v>3000</v>
      </c>
      <c r="D13" s="18">
        <f>C13*Hypotheses!$B$5</f>
        <v>46500</v>
      </c>
      <c r="E13" s="13">
        <v>215000</v>
      </c>
      <c r="F13" s="18">
        <f t="shared" si="0"/>
        <v>168500</v>
      </c>
      <c r="G13" s="19">
        <f t="shared" si="1"/>
        <v>0.78372093023255818</v>
      </c>
    </row>
    <row r="14" spans="1:7" x14ac:dyDescent="0.2">
      <c r="A14" s="5" t="s">
        <v>110</v>
      </c>
      <c r="B14" s="5" t="s">
        <v>107</v>
      </c>
      <c r="C14" s="10">
        <v>3000</v>
      </c>
      <c r="D14" s="18">
        <f>C14*Hypotheses!$B$5</f>
        <v>46500</v>
      </c>
      <c r="E14" s="13">
        <v>215000</v>
      </c>
      <c r="F14" s="18">
        <f t="shared" si="0"/>
        <v>168500</v>
      </c>
      <c r="G14" s="19">
        <f t="shared" si="1"/>
        <v>0.78372093023255818</v>
      </c>
    </row>
    <row r="15" spans="1:7" x14ac:dyDescent="0.2">
      <c r="A15" s="5" t="s">
        <v>111</v>
      </c>
      <c r="B15" s="5" t="s">
        <v>112</v>
      </c>
      <c r="C15" s="10">
        <v>3000</v>
      </c>
      <c r="D15" s="18">
        <f>C15*Hypotheses!$B$5</f>
        <v>46500</v>
      </c>
      <c r="E15" s="13">
        <v>215000</v>
      </c>
      <c r="F15" s="18">
        <f t="shared" si="0"/>
        <v>168500</v>
      </c>
      <c r="G15" s="19">
        <f t="shared" si="1"/>
        <v>0.78372093023255818</v>
      </c>
    </row>
    <row r="16" spans="1:7" x14ac:dyDescent="0.2">
      <c r="A16" s="5" t="s">
        <v>113</v>
      </c>
      <c r="B16" s="5" t="s">
        <v>112</v>
      </c>
      <c r="C16" s="10">
        <v>3000</v>
      </c>
      <c r="D16" s="18">
        <f>C16*Hypotheses!$B$5</f>
        <v>46500</v>
      </c>
      <c r="E16" s="13">
        <v>215000</v>
      </c>
      <c r="F16" s="18">
        <f t="shared" si="0"/>
        <v>168500</v>
      </c>
      <c r="G16" s="19">
        <f t="shared" si="1"/>
        <v>0.78372093023255818</v>
      </c>
    </row>
    <row r="17" spans="1:7" x14ac:dyDescent="0.2">
      <c r="A17" s="5" t="s">
        <v>114</v>
      </c>
      <c r="B17" s="5" t="s">
        <v>112</v>
      </c>
      <c r="C17" s="10">
        <v>3000</v>
      </c>
      <c r="D17" s="18">
        <f>C17*Hypotheses!$B$5</f>
        <v>46500</v>
      </c>
      <c r="E17" s="13">
        <v>215000</v>
      </c>
      <c r="F17" s="18">
        <f t="shared" si="0"/>
        <v>168500</v>
      </c>
      <c r="G17" s="19">
        <f t="shared" si="1"/>
        <v>0.78372093023255818</v>
      </c>
    </row>
    <row r="18" spans="1:7" x14ac:dyDescent="0.2">
      <c r="A18" s="20" t="s">
        <v>115</v>
      </c>
      <c r="B18" s="21"/>
      <c r="C18" s="22">
        <f>AVERAGE(C4:C17)</f>
        <v>3000</v>
      </c>
      <c r="D18" s="23">
        <f>AVERAGE(D4:D17)</f>
        <v>46500</v>
      </c>
      <c r="E18" s="23">
        <f>AVERAGE(E4:E17)</f>
        <v>215000</v>
      </c>
      <c r="F18" s="23">
        <f>AVERAGE(F4:F17)</f>
        <v>168500</v>
      </c>
      <c r="G18" s="24">
        <f t="shared" si="1"/>
        <v>0.78372093023255818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3"/>
  <sheetViews>
    <sheetView showGridLines="0" zoomScale="120" zoomScaleNormal="120" workbookViewId="0">
      <selection activeCell="B8" sqref="B8"/>
    </sheetView>
  </sheetViews>
  <sheetFormatPr baseColWidth="10" defaultColWidth="8.83203125" defaultRowHeight="15" x14ac:dyDescent="0.2"/>
  <cols>
    <col min="1" max="1" width="48" customWidth="1"/>
    <col min="2" max="2" width="18" customWidth="1"/>
    <col min="3" max="3" width="44" customWidth="1"/>
  </cols>
  <sheetData>
    <row r="1" spans="1:3" ht="34" customHeight="1" x14ac:dyDescent="0.2">
      <c r="A1" s="52" t="s">
        <v>116</v>
      </c>
      <c r="B1" s="42"/>
      <c r="C1" s="42"/>
    </row>
    <row r="2" spans="1:3" ht="18" customHeight="1" x14ac:dyDescent="0.2">
      <c r="A2" s="51" t="s">
        <v>117</v>
      </c>
      <c r="B2" s="42"/>
      <c r="C2" s="42"/>
    </row>
    <row r="3" spans="1:3" ht="20" customHeight="1" x14ac:dyDescent="0.2">
      <c r="A3" s="44" t="s">
        <v>118</v>
      </c>
      <c r="B3" s="42"/>
      <c r="C3" s="42"/>
    </row>
    <row r="4" spans="1:3" ht="26" customHeight="1" x14ac:dyDescent="0.2">
      <c r="A4" s="4" t="s">
        <v>119</v>
      </c>
      <c r="B4" s="4" t="s">
        <v>120</v>
      </c>
      <c r="C4" s="4" t="s">
        <v>121</v>
      </c>
    </row>
    <row r="5" spans="1:3" x14ac:dyDescent="0.2">
      <c r="A5" s="5" t="s">
        <v>122</v>
      </c>
      <c r="B5" s="18">
        <f>Hypotheses!$B$16</f>
        <v>215000</v>
      </c>
      <c r="C5" s="8" t="s">
        <v>123</v>
      </c>
    </row>
    <row r="6" spans="1:3" x14ac:dyDescent="0.2">
      <c r="A6" s="5" t="s">
        <v>124</v>
      </c>
      <c r="B6" s="18">
        <f>Hypotheses!$B$12</f>
        <v>46500</v>
      </c>
      <c r="C6" s="8" t="s">
        <v>125</v>
      </c>
    </row>
    <row r="7" spans="1:3" x14ac:dyDescent="0.2">
      <c r="A7" s="5" t="s">
        <v>126</v>
      </c>
      <c r="B7" s="18">
        <f>Hypotheses!$B$19</f>
        <v>70000</v>
      </c>
      <c r="C7" s="8" t="s">
        <v>127</v>
      </c>
    </row>
    <row r="8" spans="1:3" x14ac:dyDescent="0.2">
      <c r="A8" s="5" t="s">
        <v>128</v>
      </c>
      <c r="B8" s="18">
        <f>Hypotheses!$B$23/Hypotheses!$B$28</f>
        <v>3133.9285714285716</v>
      </c>
      <c r="C8" s="8" t="s">
        <v>129</v>
      </c>
    </row>
    <row r="9" spans="1:3" x14ac:dyDescent="0.2">
      <c r="A9" s="20" t="s">
        <v>130</v>
      </c>
      <c r="B9" s="23">
        <f>B5-B6-B7-B8</f>
        <v>95366.071428571435</v>
      </c>
      <c r="C9" s="25" t="s">
        <v>51</v>
      </c>
    </row>
    <row r="10" spans="1:3" x14ac:dyDescent="0.2">
      <c r="A10" s="5" t="s">
        <v>131</v>
      </c>
      <c r="B10" s="19">
        <f>B9/B5</f>
        <v>0.44356312292358807</v>
      </c>
      <c r="C10" s="8" t="s">
        <v>51</v>
      </c>
    </row>
    <row r="12" spans="1:3" ht="20" customHeight="1" x14ac:dyDescent="0.2">
      <c r="A12" s="44" t="s">
        <v>132</v>
      </c>
      <c r="B12" s="42"/>
      <c r="C12" s="42"/>
    </row>
    <row r="13" spans="1:3" ht="26" customHeight="1" x14ac:dyDescent="0.2">
      <c r="A13" s="4" t="s">
        <v>119</v>
      </c>
      <c r="B13" s="4" t="s">
        <v>120</v>
      </c>
      <c r="C13" s="4" t="s">
        <v>121</v>
      </c>
    </row>
    <row r="14" spans="1:3" x14ac:dyDescent="0.2">
      <c r="A14" s="5" t="s">
        <v>133</v>
      </c>
      <c r="B14" s="26">
        <f>Hypotheses!$B$26</f>
        <v>30</v>
      </c>
      <c r="C14" s="8"/>
    </row>
    <row r="15" spans="1:3" x14ac:dyDescent="0.2">
      <c r="A15" s="5" t="s">
        <v>134</v>
      </c>
      <c r="B15" s="19">
        <f>Hypotheses!$B$27</f>
        <v>0.7</v>
      </c>
      <c r="C15" s="8"/>
    </row>
    <row r="16" spans="1:3" x14ac:dyDescent="0.2">
      <c r="A16" s="5" t="s">
        <v>77</v>
      </c>
      <c r="B16" s="27">
        <f>Hypotheses!$B$28</f>
        <v>21</v>
      </c>
      <c r="C16" s="8"/>
    </row>
    <row r="17" spans="1:3" x14ac:dyDescent="0.2">
      <c r="A17" s="5" t="s">
        <v>135</v>
      </c>
      <c r="B17" s="27">
        <f>B14-B16</f>
        <v>9</v>
      </c>
      <c r="C17" s="8" t="s">
        <v>136</v>
      </c>
    </row>
    <row r="18" spans="1:3" x14ac:dyDescent="0.2">
      <c r="A18" s="5" t="s">
        <v>137</v>
      </c>
      <c r="B18" s="18">
        <f>B16*B5</f>
        <v>4515000</v>
      </c>
      <c r="C18" s="8" t="s">
        <v>138</v>
      </c>
    </row>
    <row r="19" spans="1:3" x14ac:dyDescent="0.2">
      <c r="A19" s="5" t="s">
        <v>139</v>
      </c>
      <c r="B19" s="18">
        <f>B16*B6</f>
        <v>976500</v>
      </c>
      <c r="C19" s="8"/>
    </row>
    <row r="20" spans="1:3" x14ac:dyDescent="0.2">
      <c r="A20" s="5" t="s">
        <v>140</v>
      </c>
      <c r="B20" s="18">
        <f>B16*B7</f>
        <v>1470000</v>
      </c>
      <c r="C20" s="8"/>
    </row>
    <row r="21" spans="1:3" x14ac:dyDescent="0.2">
      <c r="A21" s="5" t="s">
        <v>141</v>
      </c>
      <c r="B21" s="18">
        <f>Hypotheses!$B$23</f>
        <v>65812.5</v>
      </c>
      <c r="C21" s="8" t="s">
        <v>142</v>
      </c>
    </row>
    <row r="22" spans="1:3" x14ac:dyDescent="0.2">
      <c r="A22" s="20" t="s">
        <v>143</v>
      </c>
      <c r="B22" s="23">
        <f>B18-B19-B20-B21</f>
        <v>2002687.5</v>
      </c>
      <c r="C22" s="25" t="s">
        <v>51</v>
      </c>
    </row>
    <row r="23" spans="1:3" x14ac:dyDescent="0.2">
      <c r="A23" s="5" t="s">
        <v>144</v>
      </c>
      <c r="B23" s="18">
        <f>B17*(Hypotheses!$B$23/Hypotheses!$B$26)</f>
        <v>19743.75</v>
      </c>
      <c r="C23" s="8" t="s">
        <v>145</v>
      </c>
    </row>
  </sheetData>
  <mergeCells count="4">
    <mergeCell ref="A1:C1"/>
    <mergeCell ref="A3:C3"/>
    <mergeCell ref="A2:C2"/>
    <mergeCell ref="A12:C1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2"/>
  <sheetViews>
    <sheetView showGridLines="0" zoomScale="130" zoomScaleNormal="130" workbookViewId="0">
      <selection activeCell="F35" sqref="F35"/>
    </sheetView>
  </sheetViews>
  <sheetFormatPr baseColWidth="10" defaultColWidth="8.83203125" defaultRowHeight="15" x14ac:dyDescent="0.2"/>
  <cols>
    <col min="1" max="1" width="42" customWidth="1"/>
    <col min="2" max="2" width="18" customWidth="1"/>
    <col min="3" max="4" width="16" customWidth="1"/>
    <col min="5" max="5" width="18" customWidth="1"/>
  </cols>
  <sheetData>
    <row r="1" spans="1:5" ht="34" customHeight="1" x14ac:dyDescent="0.2">
      <c r="A1" s="52" t="s">
        <v>146</v>
      </c>
      <c r="B1" s="42"/>
      <c r="C1" s="42"/>
      <c r="D1" s="42"/>
      <c r="E1" s="42"/>
    </row>
    <row r="3" spans="1:5" ht="26" customHeight="1" x14ac:dyDescent="0.2">
      <c r="A3" s="4" t="s">
        <v>36</v>
      </c>
      <c r="B3" s="4" t="s">
        <v>37</v>
      </c>
      <c r="C3" s="4" t="s">
        <v>38</v>
      </c>
      <c r="D3" s="4"/>
      <c r="E3" s="4"/>
    </row>
    <row r="4" spans="1:5" x14ac:dyDescent="0.2">
      <c r="A4" s="5" t="s">
        <v>147</v>
      </c>
      <c r="B4" s="28">
        <f>Hypotheses!$B$22</f>
        <v>7.5</v>
      </c>
      <c r="C4" s="7" t="s">
        <v>64</v>
      </c>
    </row>
    <row r="5" spans="1:5" x14ac:dyDescent="0.2">
      <c r="A5" s="5" t="s">
        <v>147</v>
      </c>
      <c r="B5" s="18">
        <f>Hypotheses!$B$23</f>
        <v>65812.5</v>
      </c>
      <c r="C5" s="7" t="s">
        <v>68</v>
      </c>
    </row>
    <row r="6" spans="1:5" x14ac:dyDescent="0.2">
      <c r="A6" s="5" t="s">
        <v>148</v>
      </c>
      <c r="B6" s="26">
        <f>Hypotheses!$B$29</f>
        <v>30</v>
      </c>
      <c r="C6" s="7" t="s">
        <v>79</v>
      </c>
    </row>
    <row r="7" spans="1:5" x14ac:dyDescent="0.2">
      <c r="A7" s="5" t="s">
        <v>149</v>
      </c>
      <c r="B7" s="28">
        <f>B4*B6</f>
        <v>225</v>
      </c>
      <c r="C7" s="7" t="s">
        <v>150</v>
      </c>
    </row>
    <row r="8" spans="1:5" x14ac:dyDescent="0.2">
      <c r="A8" s="5" t="s">
        <v>149</v>
      </c>
      <c r="B8" s="18">
        <f>B5*B6</f>
        <v>1974375</v>
      </c>
      <c r="C8" s="7" t="s">
        <v>151</v>
      </c>
    </row>
    <row r="9" spans="1:5" x14ac:dyDescent="0.2">
      <c r="A9" s="5" t="s">
        <v>152</v>
      </c>
      <c r="B9" s="26">
        <f>Hypotheses!$B$26</f>
        <v>30</v>
      </c>
      <c r="C9" s="7" t="s">
        <v>72</v>
      </c>
    </row>
    <row r="10" spans="1:5" x14ac:dyDescent="0.2">
      <c r="A10" s="5" t="s">
        <v>153</v>
      </c>
      <c r="B10" s="26">
        <f>B9*B6</f>
        <v>900</v>
      </c>
      <c r="C10" s="7" t="s">
        <v>154</v>
      </c>
    </row>
    <row r="11" spans="1:5" x14ac:dyDescent="0.2">
      <c r="A11" s="5" t="s">
        <v>155</v>
      </c>
      <c r="B11" s="27">
        <f>Hypotheses!$B$28*B6</f>
        <v>630</v>
      </c>
      <c r="C11" s="7" t="s">
        <v>154</v>
      </c>
    </row>
    <row r="12" spans="1:5" x14ac:dyDescent="0.2">
      <c r="A12" s="5" t="s">
        <v>156</v>
      </c>
      <c r="B12" s="18">
        <f>B5/B9</f>
        <v>2193.75</v>
      </c>
      <c r="C12" s="7" t="s">
        <v>157</v>
      </c>
    </row>
    <row r="13" spans="1:5" x14ac:dyDescent="0.2">
      <c r="A13" s="5" t="s">
        <v>158</v>
      </c>
      <c r="B13" s="18">
        <f>B5/Hypotheses!$B$28</f>
        <v>3133.9285714285716</v>
      </c>
      <c r="C13" s="7" t="s">
        <v>159</v>
      </c>
    </row>
    <row r="15" spans="1:5" ht="20" customHeight="1" x14ac:dyDescent="0.2">
      <c r="A15" s="44" t="s">
        <v>160</v>
      </c>
      <c r="B15" s="42"/>
      <c r="C15" s="42"/>
      <c r="D15" s="42"/>
      <c r="E15" s="42"/>
    </row>
    <row r="16" spans="1:5" ht="26" customHeight="1" x14ac:dyDescent="0.2">
      <c r="A16" s="4" t="s">
        <v>161</v>
      </c>
      <c r="B16" s="4" t="s">
        <v>162</v>
      </c>
      <c r="C16" s="4" t="s">
        <v>163</v>
      </c>
      <c r="D16" s="4" t="s">
        <v>164</v>
      </c>
      <c r="E16" s="4" t="s">
        <v>157</v>
      </c>
    </row>
    <row r="17" spans="1:5" x14ac:dyDescent="0.2">
      <c r="A17" s="5" t="s">
        <v>165</v>
      </c>
      <c r="B17" s="14">
        <v>5</v>
      </c>
      <c r="C17" s="18">
        <f>B17*Hypotheses!$B$6</f>
        <v>43875</v>
      </c>
      <c r="D17" s="18">
        <f>C17*Hypotheses!$B$29</f>
        <v>1316250</v>
      </c>
      <c r="E17" s="18">
        <f>C17/Hypotheses!$B$26</f>
        <v>1462.5</v>
      </c>
    </row>
    <row r="18" spans="1:5" x14ac:dyDescent="0.2">
      <c r="A18" s="5" t="s">
        <v>166</v>
      </c>
      <c r="B18" s="28">
        <f>Hypotheses!$B$22</f>
        <v>7.5</v>
      </c>
      <c r="C18" s="18">
        <f>B18*Hypotheses!$B$6</f>
        <v>65812.5</v>
      </c>
      <c r="D18" s="18">
        <f>C18*Hypotheses!$B$29</f>
        <v>1974375</v>
      </c>
      <c r="E18" s="18">
        <f>C18/Hypotheses!$B$26</f>
        <v>2193.75</v>
      </c>
    </row>
    <row r="19" spans="1:5" x14ac:dyDescent="0.2">
      <c r="A19" s="5" t="s">
        <v>167</v>
      </c>
      <c r="B19" s="14">
        <v>10</v>
      </c>
      <c r="C19" s="18">
        <f>B19*Hypotheses!$B$6</f>
        <v>87750</v>
      </c>
      <c r="D19" s="18">
        <f>C19*Hypotheses!$B$29</f>
        <v>2632500</v>
      </c>
      <c r="E19" s="18">
        <f>C19/Hypotheses!$B$26</f>
        <v>2925</v>
      </c>
    </row>
    <row r="21" spans="1:5" x14ac:dyDescent="0.2">
      <c r="A21" s="54" t="s">
        <v>168</v>
      </c>
      <c r="B21" s="42"/>
      <c r="C21" s="42"/>
      <c r="D21" s="42"/>
      <c r="E21" s="42"/>
    </row>
    <row r="22" spans="1:5" x14ac:dyDescent="0.2">
      <c r="A22" s="42"/>
      <c r="B22" s="42"/>
      <c r="C22" s="42"/>
      <c r="D22" s="42"/>
      <c r="E22" s="42"/>
    </row>
  </sheetData>
  <mergeCells count="3">
    <mergeCell ref="A15:E15"/>
    <mergeCell ref="A1:E1"/>
    <mergeCell ref="A21:E2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7"/>
  <sheetViews>
    <sheetView showGridLines="0" zoomScale="140" zoomScaleNormal="140" workbookViewId="0">
      <selection sqref="A1:C1"/>
    </sheetView>
  </sheetViews>
  <sheetFormatPr baseColWidth="10" defaultColWidth="8.83203125" defaultRowHeight="15" x14ac:dyDescent="0.2"/>
  <cols>
    <col min="1" max="1" width="46" customWidth="1"/>
    <col min="2" max="2" width="18" customWidth="1"/>
    <col min="3" max="3" width="40" customWidth="1"/>
  </cols>
  <sheetData>
    <row r="1" spans="1:3" ht="34" customHeight="1" x14ac:dyDescent="0.2">
      <c r="A1" s="52" t="s">
        <v>169</v>
      </c>
      <c r="B1" s="42"/>
      <c r="C1" s="42"/>
    </row>
    <row r="2" spans="1:3" ht="18" customHeight="1" x14ac:dyDescent="0.2">
      <c r="A2" s="51" t="s">
        <v>170</v>
      </c>
      <c r="B2" s="42"/>
      <c r="C2" s="42"/>
    </row>
    <row r="3" spans="1:3" ht="26" customHeight="1" x14ac:dyDescent="0.2">
      <c r="A3" s="4" t="s">
        <v>119</v>
      </c>
      <c r="B3" s="4" t="s">
        <v>171</v>
      </c>
      <c r="C3" s="4" t="s">
        <v>172</v>
      </c>
    </row>
    <row r="4" spans="1:3" x14ac:dyDescent="0.2">
      <c r="A4" s="5" t="s">
        <v>173</v>
      </c>
      <c r="B4" s="13">
        <v>5000000</v>
      </c>
      <c r="C4" s="8" t="s">
        <v>174</v>
      </c>
    </row>
    <row r="5" spans="1:3" x14ac:dyDescent="0.2">
      <c r="A5" s="5" t="s">
        <v>175</v>
      </c>
      <c r="B5" s="13">
        <v>1500000</v>
      </c>
      <c r="C5" s="8" t="s">
        <v>174</v>
      </c>
    </row>
    <row r="6" spans="1:3" x14ac:dyDescent="0.2">
      <c r="A6" s="5" t="s">
        <v>176</v>
      </c>
      <c r="B6" s="13">
        <v>1000000</v>
      </c>
      <c r="C6" s="8" t="s">
        <v>174</v>
      </c>
    </row>
    <row r="7" spans="1:3" x14ac:dyDescent="0.2">
      <c r="A7" s="5" t="s">
        <v>177</v>
      </c>
      <c r="B7" s="13">
        <v>1000000</v>
      </c>
      <c r="C7" s="8" t="s">
        <v>174</v>
      </c>
    </row>
    <row r="8" spans="1:3" x14ac:dyDescent="0.2">
      <c r="A8" s="5" t="s">
        <v>178</v>
      </c>
      <c r="B8" s="13">
        <v>300000</v>
      </c>
      <c r="C8" s="8" t="s">
        <v>174</v>
      </c>
    </row>
    <row r="9" spans="1:3" x14ac:dyDescent="0.2">
      <c r="A9" s="5" t="s">
        <v>179</v>
      </c>
      <c r="B9" s="13">
        <v>1200000</v>
      </c>
      <c r="C9" s="8" t="s">
        <v>174</v>
      </c>
    </row>
    <row r="10" spans="1:3" x14ac:dyDescent="0.2">
      <c r="A10" s="5" t="s">
        <v>180</v>
      </c>
      <c r="B10" s="13">
        <v>500000</v>
      </c>
      <c r="C10" s="8" t="s">
        <v>174</v>
      </c>
    </row>
    <row r="11" spans="1:3" x14ac:dyDescent="0.2">
      <c r="A11" s="29" t="s">
        <v>181</v>
      </c>
      <c r="B11" s="30">
        <f>SUM(B4:B10)</f>
        <v>10500000</v>
      </c>
      <c r="C11" s="31"/>
    </row>
    <row r="13" spans="1:3" ht="20" customHeight="1" x14ac:dyDescent="0.2">
      <c r="A13" s="44" t="s">
        <v>182</v>
      </c>
      <c r="B13" s="42"/>
      <c r="C13" s="42"/>
    </row>
    <row r="14" spans="1:3" ht="26" customHeight="1" x14ac:dyDescent="0.2">
      <c r="A14" s="4" t="s">
        <v>119</v>
      </c>
      <c r="B14" s="4" t="s">
        <v>171</v>
      </c>
      <c r="C14" s="4" t="s">
        <v>121</v>
      </c>
    </row>
    <row r="15" spans="1:3" x14ac:dyDescent="0.2">
      <c r="A15" s="5" t="s">
        <v>183</v>
      </c>
      <c r="B15" s="13">
        <v>500000</v>
      </c>
      <c r="C15" s="8" t="s">
        <v>174</v>
      </c>
    </row>
    <row r="16" spans="1:3" x14ac:dyDescent="0.2">
      <c r="A16" s="5" t="s">
        <v>184</v>
      </c>
      <c r="B16" s="18">
        <f>(B8+B9)/12</f>
        <v>125000</v>
      </c>
      <c r="C16" s="8" t="s">
        <v>185</v>
      </c>
    </row>
    <row r="17" spans="1:3" x14ac:dyDescent="0.2">
      <c r="A17" s="29" t="s">
        <v>186</v>
      </c>
      <c r="B17" s="30">
        <f>SUM(B15:B16)</f>
        <v>625000</v>
      </c>
      <c r="C17" s="31"/>
    </row>
  </sheetData>
  <mergeCells count="3">
    <mergeCell ref="A1:C1"/>
    <mergeCell ref="A13:C13"/>
    <mergeCell ref="A2:C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5"/>
  <sheetViews>
    <sheetView showGridLines="0" zoomScale="140" zoomScaleNormal="140" workbookViewId="0">
      <selection activeCell="B18" sqref="B18"/>
    </sheetView>
  </sheetViews>
  <sheetFormatPr baseColWidth="10" defaultColWidth="8.83203125" defaultRowHeight="15" x14ac:dyDescent="0.2"/>
  <cols>
    <col min="1" max="1" width="46" customWidth="1"/>
    <col min="2" max="2" width="18" customWidth="1"/>
    <col min="3" max="3" width="12" customWidth="1"/>
    <col min="4" max="4" width="38" customWidth="1"/>
  </cols>
  <sheetData>
    <row r="1" spans="1:4" ht="34" customHeight="1" x14ac:dyDescent="0.2">
      <c r="A1" s="52" t="s">
        <v>187</v>
      </c>
      <c r="B1" s="42"/>
      <c r="C1" s="42"/>
      <c r="D1" s="42"/>
    </row>
    <row r="2" spans="1:4" ht="18" customHeight="1" x14ac:dyDescent="0.2">
      <c r="A2" s="51" t="s">
        <v>188</v>
      </c>
      <c r="B2" s="42"/>
      <c r="C2" s="42"/>
      <c r="D2" s="42"/>
    </row>
    <row r="3" spans="1:4" ht="26" customHeight="1" x14ac:dyDescent="0.2">
      <c r="A3" s="4" t="s">
        <v>36</v>
      </c>
      <c r="B3" s="4" t="s">
        <v>37</v>
      </c>
      <c r="C3" s="4" t="s">
        <v>38</v>
      </c>
      <c r="D3" s="4" t="s">
        <v>121</v>
      </c>
    </row>
    <row r="4" spans="1:4" x14ac:dyDescent="0.2">
      <c r="A4" s="5" t="s">
        <v>189</v>
      </c>
      <c r="B4" s="32">
        <f>Hypotheses!$B$11</f>
        <v>3000</v>
      </c>
      <c r="C4" s="7" t="s">
        <v>47</v>
      </c>
      <c r="D4" s="8" t="s">
        <v>190</v>
      </c>
    </row>
    <row r="5" spans="1:4" x14ac:dyDescent="0.2">
      <c r="A5" s="5" t="s">
        <v>189</v>
      </c>
      <c r="B5" s="18">
        <f>Hypotheses!$B$12</f>
        <v>46500</v>
      </c>
      <c r="C5" s="7" t="s">
        <v>42</v>
      </c>
      <c r="D5" s="8" t="s">
        <v>190</v>
      </c>
    </row>
    <row r="6" spans="1:4" x14ac:dyDescent="0.2">
      <c r="A6" s="5" t="s">
        <v>191</v>
      </c>
      <c r="B6" s="16">
        <v>0.15</v>
      </c>
      <c r="C6" s="7" t="s">
        <v>75</v>
      </c>
      <c r="D6" s="8" t="s">
        <v>192</v>
      </c>
    </row>
    <row r="7" spans="1:4" x14ac:dyDescent="0.2">
      <c r="A7" s="5" t="s">
        <v>193</v>
      </c>
      <c r="B7" s="18">
        <f>B5*(1+B6)</f>
        <v>53474.999999999993</v>
      </c>
      <c r="C7" s="7" t="s">
        <v>42</v>
      </c>
      <c r="D7" s="8" t="s">
        <v>51</v>
      </c>
    </row>
    <row r="8" spans="1:4" ht="20" customHeight="1" x14ac:dyDescent="0.2">
      <c r="A8" s="44" t="s">
        <v>194</v>
      </c>
      <c r="B8" s="42"/>
      <c r="C8" s="42"/>
      <c r="D8" s="42"/>
    </row>
    <row r="9" spans="1:4" x14ac:dyDescent="0.2">
      <c r="A9" s="5" t="s">
        <v>195</v>
      </c>
      <c r="B9" s="26">
        <f>Hypotheses!$B$26</f>
        <v>30</v>
      </c>
      <c r="C9" s="7" t="s">
        <v>196</v>
      </c>
      <c r="D9" s="8" t="s">
        <v>190</v>
      </c>
    </row>
    <row r="10" spans="1:4" x14ac:dyDescent="0.2">
      <c r="A10" s="5" t="s">
        <v>197</v>
      </c>
      <c r="B10" s="9">
        <v>15</v>
      </c>
      <c r="C10" s="7" t="s">
        <v>79</v>
      </c>
      <c r="D10" s="8" t="s">
        <v>198</v>
      </c>
    </row>
    <row r="11" spans="1:4" x14ac:dyDescent="0.2">
      <c r="A11" s="5" t="s">
        <v>199</v>
      </c>
      <c r="B11" s="6">
        <v>1.5</v>
      </c>
      <c r="C11" s="7" t="s">
        <v>200</v>
      </c>
      <c r="D11" s="8" t="s">
        <v>201</v>
      </c>
    </row>
    <row r="12" spans="1:4" x14ac:dyDescent="0.2">
      <c r="A12" s="5" t="s">
        <v>202</v>
      </c>
      <c r="B12" s="26">
        <f>B9*B10*B11</f>
        <v>675</v>
      </c>
      <c r="C12" s="7" t="s">
        <v>203</v>
      </c>
      <c r="D12" s="8" t="s">
        <v>204</v>
      </c>
    </row>
    <row r="13" spans="1:4" x14ac:dyDescent="0.2">
      <c r="A13" s="5" t="s">
        <v>205</v>
      </c>
      <c r="B13" s="26">
        <f>Hypotheses!$B$28*Hypotheses!$B$29</f>
        <v>630</v>
      </c>
      <c r="C13" s="7" t="s">
        <v>203</v>
      </c>
      <c r="D13" s="8" t="s">
        <v>51</v>
      </c>
    </row>
    <row r="14" spans="1:4" x14ac:dyDescent="0.2">
      <c r="A14" s="5" t="s">
        <v>206</v>
      </c>
      <c r="B14" s="18">
        <f>B13*B7</f>
        <v>33689249.999999993</v>
      </c>
      <c r="C14" s="7" t="s">
        <v>42</v>
      </c>
      <c r="D14" s="8" t="s">
        <v>51</v>
      </c>
    </row>
    <row r="15" spans="1:4" x14ac:dyDescent="0.2">
      <c r="A15" s="5" t="s">
        <v>207</v>
      </c>
      <c r="B15" s="18">
        <f>B12*B7</f>
        <v>36095624.999999993</v>
      </c>
      <c r="C15" s="7" t="s">
        <v>42</v>
      </c>
      <c r="D15" s="8" t="s">
        <v>208</v>
      </c>
    </row>
  </sheetData>
  <mergeCells count="3">
    <mergeCell ref="A1:D1"/>
    <mergeCell ref="A8:D8"/>
    <mergeCell ref="A2:D2"/>
  </mergeCells>
  <pageMargins left="0.75" right="0.75" top="1" bottom="1" header="0.5" footer="0.5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6"/>
  <sheetViews>
    <sheetView showGridLines="0" tabSelected="1" zoomScale="140" zoomScaleNormal="140" workbookViewId="0">
      <selection activeCell="B19" sqref="B19"/>
    </sheetView>
  </sheetViews>
  <sheetFormatPr baseColWidth="10" defaultColWidth="8.83203125" defaultRowHeight="15" x14ac:dyDescent="0.2"/>
  <cols>
    <col min="1" max="1" width="38" customWidth="1"/>
    <col min="2" max="2" width="14.6640625" bestFit="1" customWidth="1"/>
    <col min="3" max="8" width="15.6640625" bestFit="1" customWidth="1"/>
  </cols>
  <sheetData>
    <row r="1" spans="1:8" ht="34" customHeight="1" x14ac:dyDescent="0.2">
      <c r="A1" s="52" t="s">
        <v>209</v>
      </c>
      <c r="B1" s="42"/>
      <c r="C1" s="42"/>
      <c r="D1" s="42"/>
      <c r="E1" s="42"/>
      <c r="F1" s="42"/>
      <c r="G1" s="42"/>
      <c r="H1" s="42"/>
    </row>
    <row r="2" spans="1:8" ht="18" customHeight="1" x14ac:dyDescent="0.2">
      <c r="A2" s="51" t="s">
        <v>210</v>
      </c>
      <c r="B2" s="42"/>
      <c r="C2" s="42"/>
      <c r="D2" s="42"/>
      <c r="E2" s="42"/>
      <c r="F2" s="42"/>
      <c r="G2" s="42"/>
      <c r="H2" s="42"/>
    </row>
    <row r="3" spans="1:8" ht="26" customHeight="1" x14ac:dyDescent="0.2">
      <c r="A3" s="4" t="s">
        <v>211</v>
      </c>
      <c r="B3" s="4" t="s">
        <v>81</v>
      </c>
      <c r="C3" s="4" t="s">
        <v>83</v>
      </c>
      <c r="D3" s="4" t="s">
        <v>84</v>
      </c>
      <c r="E3" s="4" t="s">
        <v>85</v>
      </c>
      <c r="F3" s="4" t="s">
        <v>86</v>
      </c>
      <c r="G3" s="4" t="s">
        <v>87</v>
      </c>
      <c r="H3" s="4" t="s">
        <v>212</v>
      </c>
    </row>
    <row r="4" spans="1:8" x14ac:dyDescent="0.2">
      <c r="A4" s="20" t="s">
        <v>213</v>
      </c>
      <c r="B4" s="33">
        <f>Hypotheses!$B$31</f>
        <v>0.5</v>
      </c>
      <c r="C4" s="33">
        <f>Hypotheses!$B$32</f>
        <v>0.75</v>
      </c>
      <c r="D4" s="33">
        <f>Hypotheses!$B$33</f>
        <v>1</v>
      </c>
      <c r="E4" s="33">
        <f>Hypotheses!$B$34</f>
        <v>1</v>
      </c>
      <c r="F4" s="33">
        <f>Hypotheses!$B$35</f>
        <v>1</v>
      </c>
      <c r="G4" s="33">
        <f>Hypotheses!$B$36</f>
        <v>1</v>
      </c>
      <c r="H4" s="21"/>
    </row>
    <row r="5" spans="1:8" x14ac:dyDescent="0.2">
      <c r="A5" s="5" t="s">
        <v>133</v>
      </c>
      <c r="B5" s="27">
        <f>Hypotheses!$B$26*B4</f>
        <v>15</v>
      </c>
      <c r="C5" s="27">
        <f>Hypotheses!$B$26*C4</f>
        <v>22.5</v>
      </c>
      <c r="D5" s="27">
        <f>Hypotheses!$B$26*D4</f>
        <v>30</v>
      </c>
      <c r="E5" s="27">
        <f>Hypotheses!$B$26*E4</f>
        <v>30</v>
      </c>
      <c r="F5" s="27">
        <f>Hypotheses!$B$26*F4</f>
        <v>30</v>
      </c>
      <c r="G5" s="27">
        <f>Hypotheses!$B$26*G4</f>
        <v>30</v>
      </c>
      <c r="H5" s="34"/>
    </row>
    <row r="6" spans="1:8" x14ac:dyDescent="0.2">
      <c r="A6" s="5" t="s">
        <v>214</v>
      </c>
      <c r="B6" s="26">
        <f>B5*Hypotheses!$B$29</f>
        <v>450</v>
      </c>
      <c r="C6" s="26">
        <f>C5*Hypotheses!$B$29</f>
        <v>675</v>
      </c>
      <c r="D6" s="26">
        <f>D5*Hypotheses!$B$29</f>
        <v>900</v>
      </c>
      <c r="E6" s="26">
        <f>E5*Hypotheses!$B$29</f>
        <v>900</v>
      </c>
      <c r="F6" s="26">
        <f>F5*Hypotheses!$B$29</f>
        <v>900</v>
      </c>
      <c r="G6" s="26">
        <f>G5*Hypotheses!$B$29</f>
        <v>900</v>
      </c>
      <c r="H6" s="35">
        <f>SUM(B6:G6)</f>
        <v>4725</v>
      </c>
    </row>
    <row r="7" spans="1:8" x14ac:dyDescent="0.2">
      <c r="A7" s="5" t="s">
        <v>155</v>
      </c>
      <c r="B7" s="26">
        <f>B6*Hypotheses!$B$27</f>
        <v>315</v>
      </c>
      <c r="C7" s="26">
        <f>C6*Hypotheses!$B$27</f>
        <v>472.49999999999994</v>
      </c>
      <c r="D7" s="26">
        <f>D6*Hypotheses!$B$27</f>
        <v>630</v>
      </c>
      <c r="E7" s="26">
        <f>E6*Hypotheses!$B$27</f>
        <v>630</v>
      </c>
      <c r="F7" s="26">
        <f>F6*Hypotheses!$B$27</f>
        <v>630</v>
      </c>
      <c r="G7" s="26">
        <f>G6*Hypotheses!$B$27</f>
        <v>630</v>
      </c>
      <c r="H7" s="35">
        <f>SUM(B7:G7)</f>
        <v>3307.5</v>
      </c>
    </row>
    <row r="9" spans="1:8" x14ac:dyDescent="0.2">
      <c r="A9" s="5" t="s">
        <v>215</v>
      </c>
      <c r="B9" s="18">
        <f>B7*Hypotheses!$B$16</f>
        <v>67725000</v>
      </c>
      <c r="C9" s="18">
        <f>C7*Hypotheses!$B$16</f>
        <v>101587499.99999999</v>
      </c>
      <c r="D9" s="18">
        <f>D7*Hypotheses!$B$16</f>
        <v>135450000</v>
      </c>
      <c r="E9" s="18">
        <f>E7*Hypotheses!$B$16</f>
        <v>135450000</v>
      </c>
      <c r="F9" s="18">
        <f>F7*Hypotheses!$B$16</f>
        <v>135450000</v>
      </c>
      <c r="G9" s="18">
        <f>G7*Hypotheses!$B$16</f>
        <v>135450000</v>
      </c>
      <c r="H9" s="12">
        <f t="shared" ref="H9:H15" si="0">SUM(B9:G9)</f>
        <v>711112500</v>
      </c>
    </row>
    <row r="10" spans="1:8" x14ac:dyDescent="0.2">
      <c r="A10" s="5" t="s">
        <v>216</v>
      </c>
      <c r="B10" s="18">
        <f>B7*Hypotheses!$B$12</f>
        <v>14647500</v>
      </c>
      <c r="C10" s="18">
        <f>C7*Hypotheses!$B$12</f>
        <v>21971249.999999996</v>
      </c>
      <c r="D10" s="18">
        <f>D7*Hypotheses!$B$12</f>
        <v>29295000</v>
      </c>
      <c r="E10" s="18">
        <f>E7*Hypotheses!$B$12</f>
        <v>29295000</v>
      </c>
      <c r="F10" s="18">
        <f>F7*Hypotheses!$B$12</f>
        <v>29295000</v>
      </c>
      <c r="G10" s="18">
        <f>G7*Hypotheses!$B$12</f>
        <v>29295000</v>
      </c>
      <c r="H10" s="12">
        <f t="shared" si="0"/>
        <v>153798750</v>
      </c>
    </row>
    <row r="11" spans="1:8" x14ac:dyDescent="0.2">
      <c r="A11" s="20" t="s">
        <v>217</v>
      </c>
      <c r="B11" s="23">
        <f t="shared" ref="B11:G11" si="1">B9-B10</f>
        <v>53077500</v>
      </c>
      <c r="C11" s="23">
        <f t="shared" si="1"/>
        <v>79616249.999999985</v>
      </c>
      <c r="D11" s="23">
        <f t="shared" si="1"/>
        <v>106155000</v>
      </c>
      <c r="E11" s="23">
        <f t="shared" si="1"/>
        <v>106155000</v>
      </c>
      <c r="F11" s="23">
        <f t="shared" si="1"/>
        <v>106155000</v>
      </c>
      <c r="G11" s="23">
        <f t="shared" si="1"/>
        <v>106155000</v>
      </c>
      <c r="H11" s="23">
        <f t="shared" si="0"/>
        <v>557313750</v>
      </c>
    </row>
    <row r="12" spans="1:8" x14ac:dyDescent="0.2">
      <c r="A12" s="5" t="s">
        <v>218</v>
      </c>
      <c r="B12" s="18">
        <f>B7*Hypotheses!$B$19</f>
        <v>22050000</v>
      </c>
      <c r="C12" s="18">
        <f>C7*Hypotheses!$B$19</f>
        <v>33074999.999999996</v>
      </c>
      <c r="D12" s="18">
        <f>D7*Hypotheses!$B$19</f>
        <v>44100000</v>
      </c>
      <c r="E12" s="18">
        <f>E7*Hypotheses!$B$19</f>
        <v>44100000</v>
      </c>
      <c r="F12" s="18">
        <f>F7*Hypotheses!$B$19</f>
        <v>44100000</v>
      </c>
      <c r="G12" s="18">
        <f>G7*Hypotheses!$B$19</f>
        <v>44100000</v>
      </c>
      <c r="H12" s="12">
        <f t="shared" si="0"/>
        <v>231525000</v>
      </c>
    </row>
    <row r="13" spans="1:8" x14ac:dyDescent="0.2">
      <c r="A13" s="5" t="s">
        <v>219</v>
      </c>
      <c r="B13" s="18">
        <f>Hypotheses!$B$23*Hypotheses!$B$29</f>
        <v>1974375</v>
      </c>
      <c r="C13" s="18">
        <f>Hypotheses!$B$23*Hypotheses!$B$29</f>
        <v>1974375</v>
      </c>
      <c r="D13" s="18">
        <f>Hypotheses!$B$23*Hypotheses!$B$29</f>
        <v>1974375</v>
      </c>
      <c r="E13" s="18">
        <f>Hypotheses!$B$23*Hypotheses!$B$29</f>
        <v>1974375</v>
      </c>
      <c r="F13" s="18">
        <f>Hypotheses!$B$23*Hypotheses!$B$29</f>
        <v>1974375</v>
      </c>
      <c r="G13" s="18">
        <f>Hypotheses!$B$23*Hypotheses!$B$29</f>
        <v>1974375</v>
      </c>
      <c r="H13" s="12">
        <f t="shared" si="0"/>
        <v>11846250</v>
      </c>
    </row>
    <row r="14" spans="1:8" x14ac:dyDescent="0.2">
      <c r="A14" s="5" t="s">
        <v>220</v>
      </c>
      <c r="B14" s="18">
        <f>'Mise en place site'!$B$17</f>
        <v>625000</v>
      </c>
      <c r="C14" s="18">
        <f>'Mise en place site'!$B$17</f>
        <v>625000</v>
      </c>
      <c r="D14" s="18">
        <f>'Mise en place site'!$B$17</f>
        <v>625000</v>
      </c>
      <c r="E14" s="18">
        <f>'Mise en place site'!$B$17</f>
        <v>625000</v>
      </c>
      <c r="F14" s="18">
        <f>'Mise en place site'!$B$17</f>
        <v>625000</v>
      </c>
      <c r="G14" s="18">
        <f>'Mise en place site'!$B$17</f>
        <v>625000</v>
      </c>
      <c r="H14" s="12">
        <f t="shared" si="0"/>
        <v>3750000</v>
      </c>
    </row>
    <row r="15" spans="1:8" x14ac:dyDescent="0.2">
      <c r="A15" s="29" t="s">
        <v>221</v>
      </c>
      <c r="B15" s="30">
        <f t="shared" ref="B15:G15" si="2">B11-B12-B13-B14</f>
        <v>28428125</v>
      </c>
      <c r="C15" s="30">
        <f t="shared" si="2"/>
        <v>43941874.999999985</v>
      </c>
      <c r="D15" s="30">
        <f t="shared" si="2"/>
        <v>59455625</v>
      </c>
      <c r="E15" s="30">
        <f t="shared" si="2"/>
        <v>59455625</v>
      </c>
      <c r="F15" s="30">
        <f t="shared" si="2"/>
        <v>59455625</v>
      </c>
      <c r="G15" s="30">
        <f t="shared" si="2"/>
        <v>59455625</v>
      </c>
      <c r="H15" s="30">
        <f t="shared" si="0"/>
        <v>310192500</v>
      </c>
    </row>
    <row r="16" spans="1:8" x14ac:dyDescent="0.2">
      <c r="A16" s="36" t="s">
        <v>222</v>
      </c>
      <c r="B16" s="37">
        <f>B15</f>
        <v>28428125</v>
      </c>
      <c r="C16" s="37">
        <f>B16+C15</f>
        <v>72369999.999999985</v>
      </c>
      <c r="D16" s="37">
        <f>C16+D15</f>
        <v>131825624.99999999</v>
      </c>
      <c r="E16" s="37">
        <f>D16+E15</f>
        <v>191281250</v>
      </c>
      <c r="F16" s="37">
        <f>E16+F15</f>
        <v>250736875</v>
      </c>
      <c r="G16" s="37">
        <f>F16+G15</f>
        <v>310192500</v>
      </c>
      <c r="H16" s="37">
        <f>G16</f>
        <v>310192500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32"/>
  <sheetViews>
    <sheetView showGridLines="0" topLeftCell="A9" zoomScale="130" zoomScaleNormal="130" workbookViewId="0">
      <selection activeCell="B8" sqref="B8"/>
    </sheetView>
  </sheetViews>
  <sheetFormatPr baseColWidth="10" defaultColWidth="8.83203125" defaultRowHeight="15" x14ac:dyDescent="0.2"/>
  <cols>
    <col min="1" max="1" width="48" customWidth="1"/>
    <col min="2" max="2" width="20" customWidth="1"/>
    <col min="3" max="3" width="14" customWidth="1"/>
    <col min="4" max="4" width="36" customWidth="1"/>
  </cols>
  <sheetData>
    <row r="1" spans="1:4" ht="34" customHeight="1" x14ac:dyDescent="0.2">
      <c r="A1" s="52" t="s">
        <v>223</v>
      </c>
      <c r="B1" s="42"/>
      <c r="C1" s="42"/>
      <c r="D1" s="42"/>
    </row>
    <row r="3" spans="1:4" ht="20" customHeight="1" x14ac:dyDescent="0.2">
      <c r="A3" s="44" t="s">
        <v>224</v>
      </c>
      <c r="B3" s="42"/>
      <c r="C3" s="42"/>
      <c r="D3" s="42"/>
    </row>
    <row r="4" spans="1:4" ht="26" customHeight="1" x14ac:dyDescent="0.2">
      <c r="A4" s="4" t="s">
        <v>225</v>
      </c>
      <c r="B4" s="4" t="s">
        <v>37</v>
      </c>
      <c r="C4" s="4" t="s">
        <v>38</v>
      </c>
      <c r="D4" s="4" t="s">
        <v>121</v>
      </c>
    </row>
    <row r="5" spans="1:4" x14ac:dyDescent="0.2">
      <c r="A5" s="5" t="s">
        <v>226</v>
      </c>
      <c r="B5" s="18">
        <f>Hypotheses!$B$16-Hypotheses!$B$12-Hypotheses!$B$19</f>
        <v>98500</v>
      </c>
      <c r="C5" s="7" t="s">
        <v>42</v>
      </c>
      <c r="D5" s="8" t="s">
        <v>227</v>
      </c>
    </row>
    <row r="6" spans="1:4" x14ac:dyDescent="0.2">
      <c r="A6" s="5" t="s">
        <v>228</v>
      </c>
      <c r="B6" s="18">
        <f>'Couts par commande'!$B$9</f>
        <v>95366.071428571435</v>
      </c>
      <c r="C6" s="7" t="s">
        <v>42</v>
      </c>
      <c r="D6" s="8" t="s">
        <v>229</v>
      </c>
    </row>
    <row r="7" spans="1:4" x14ac:dyDescent="0.2">
      <c r="A7" s="5" t="s">
        <v>230</v>
      </c>
      <c r="B7" s="18">
        <f>Hypotheses!$B$23+'Mise en place site'!$B$17/Hypotheses!$B$29</f>
        <v>86645.833333333328</v>
      </c>
      <c r="C7" s="7" t="s">
        <v>231</v>
      </c>
      <c r="D7" s="8" t="s">
        <v>232</v>
      </c>
    </row>
    <row r="8" spans="1:4" x14ac:dyDescent="0.2">
      <c r="A8" s="5" t="s">
        <v>233</v>
      </c>
      <c r="B8" s="27">
        <f>B7/B5</f>
        <v>0.87965313028764802</v>
      </c>
      <c r="C8" s="7" t="s">
        <v>196</v>
      </c>
      <c r="D8" s="8" t="s">
        <v>234</v>
      </c>
    </row>
    <row r="9" spans="1:4" x14ac:dyDescent="0.2">
      <c r="A9" s="5" t="s">
        <v>235</v>
      </c>
      <c r="B9" s="27">
        <f>B8/Hypotheses!$B$27</f>
        <v>1.2566473289823543</v>
      </c>
      <c r="C9" s="7" t="s">
        <v>196</v>
      </c>
      <c r="D9" s="8" t="s">
        <v>236</v>
      </c>
    </row>
    <row r="10" spans="1:4" x14ac:dyDescent="0.2">
      <c r="A10" s="5" t="s">
        <v>237</v>
      </c>
      <c r="B10" s="26">
        <f>Hypotheses!$B$26</f>
        <v>30</v>
      </c>
      <c r="C10" s="7" t="s">
        <v>196</v>
      </c>
      <c r="D10" s="8" t="s">
        <v>238</v>
      </c>
    </row>
    <row r="11" spans="1:4" x14ac:dyDescent="0.2">
      <c r="A11" s="20" t="s">
        <v>239</v>
      </c>
      <c r="B11" s="24">
        <f>Hypotheses!$B$26/B9-1</f>
        <v>22.87304640538591</v>
      </c>
      <c r="C11" s="38" t="s">
        <v>75</v>
      </c>
      <c r="D11" s="39" t="s">
        <v>240</v>
      </c>
    </row>
    <row r="13" spans="1:4" ht="20" customHeight="1" x14ac:dyDescent="0.2">
      <c r="A13" s="44" t="s">
        <v>241</v>
      </c>
      <c r="B13" s="42"/>
      <c r="C13" s="42"/>
      <c r="D13" s="42"/>
    </row>
    <row r="14" spans="1:4" ht="26" customHeight="1" x14ac:dyDescent="0.2">
      <c r="A14" s="4" t="s">
        <v>119</v>
      </c>
      <c r="B14" s="4" t="s">
        <v>171</v>
      </c>
      <c r="C14" s="4" t="s">
        <v>242</v>
      </c>
      <c r="D14" s="4" t="s">
        <v>121</v>
      </c>
    </row>
    <row r="15" spans="1:4" x14ac:dyDescent="0.2">
      <c r="A15" s="5" t="s">
        <v>243</v>
      </c>
      <c r="B15" s="18">
        <f>'Mise en place site'!$B$11</f>
        <v>10500000</v>
      </c>
      <c r="C15" s="19">
        <f>B15/$B$19</f>
        <v>8.3390416058611555E-2</v>
      </c>
      <c r="D15" s="8" t="s">
        <v>244</v>
      </c>
    </row>
    <row r="16" spans="1:4" x14ac:dyDescent="0.2">
      <c r="A16" s="5" t="s">
        <v>245</v>
      </c>
      <c r="B16" s="18">
        <f>Approvisionnement!$B$15</f>
        <v>36095624.999999993</v>
      </c>
      <c r="C16" s="19">
        <f>B16/$B$19</f>
        <v>0.28666944634720187</v>
      </c>
      <c r="D16" s="8" t="s">
        <v>246</v>
      </c>
    </row>
    <row r="17" spans="1:4" x14ac:dyDescent="0.2">
      <c r="A17" s="5" t="s">
        <v>247</v>
      </c>
      <c r="B17" s="18">
        <f>'Budget Pub Meta'!$B$8*3</f>
        <v>5923125</v>
      </c>
      <c r="C17" s="19">
        <f>B17/$B$19</f>
        <v>4.7041129344491762E-2</v>
      </c>
      <c r="D17" s="8" t="s">
        <v>248</v>
      </c>
    </row>
    <row r="18" spans="1:4" x14ac:dyDescent="0.2">
      <c r="A18" s="5" t="s">
        <v>249</v>
      </c>
      <c r="B18" s="18">
        <f>(Hypotheses!$B$28*Hypotheses!$B$29)*(Hypotheses!$B$12+Hypotheses!$B$19)</f>
        <v>73395000</v>
      </c>
      <c r="C18" s="19">
        <f>B18/$B$19</f>
        <v>0.58289900824969476</v>
      </c>
      <c r="D18" s="8" t="s">
        <v>250</v>
      </c>
    </row>
    <row r="19" spans="1:4" x14ac:dyDescent="0.2">
      <c r="A19" s="29" t="s">
        <v>251</v>
      </c>
      <c r="B19" s="30">
        <f>SUM(B15:B18)</f>
        <v>125913750</v>
      </c>
      <c r="C19" s="40">
        <f>SUM(C15:C18)</f>
        <v>1</v>
      </c>
      <c r="D19" s="31"/>
    </row>
    <row r="21" spans="1:4" ht="20" customHeight="1" x14ac:dyDescent="0.2">
      <c r="A21" s="44" t="s">
        <v>252</v>
      </c>
      <c r="B21" s="42"/>
      <c r="C21" s="42"/>
      <c r="D21" s="42"/>
    </row>
    <row r="22" spans="1:4" ht="26" customHeight="1" x14ac:dyDescent="0.2">
      <c r="A22" s="4" t="s">
        <v>225</v>
      </c>
      <c r="B22" s="4" t="s">
        <v>37</v>
      </c>
      <c r="C22" s="4" t="s">
        <v>38</v>
      </c>
      <c r="D22" s="4" t="s">
        <v>121</v>
      </c>
    </row>
    <row r="23" spans="1:4" x14ac:dyDescent="0.2">
      <c r="A23" s="5" t="s">
        <v>253</v>
      </c>
      <c r="B23" s="18">
        <f>'Resultat 6 mois'!$G$16</f>
        <v>310192500</v>
      </c>
      <c r="C23" s="7" t="s">
        <v>42</v>
      </c>
      <c r="D23" s="8" t="s">
        <v>254</v>
      </c>
    </row>
    <row r="24" spans="1:4" x14ac:dyDescent="0.2">
      <c r="A24" s="5" t="s">
        <v>255</v>
      </c>
      <c r="B24" s="18">
        <f>'Resultat 6 mois'!$H$9</f>
        <v>711112500</v>
      </c>
      <c r="C24" s="7" t="s">
        <v>42</v>
      </c>
      <c r="D24" s="8"/>
    </row>
    <row r="25" spans="1:4" x14ac:dyDescent="0.2">
      <c r="A25" s="20" t="s">
        <v>256</v>
      </c>
      <c r="B25" s="24">
        <f>'Resultat 6 mois'!$G$16/B19</f>
        <v>2.4635315841200822</v>
      </c>
      <c r="C25" s="38" t="s">
        <v>75</v>
      </c>
      <c r="D25" s="39" t="s">
        <v>257</v>
      </c>
    </row>
    <row r="26" spans="1:4" x14ac:dyDescent="0.2">
      <c r="A26" s="5" t="s">
        <v>258</v>
      </c>
      <c r="B26" s="19">
        <f>'Resultat 6 mois'!$G$16/'Resultat 6 mois'!$H$9</f>
        <v>0.4362073511575173</v>
      </c>
      <c r="C26" s="7" t="s">
        <v>75</v>
      </c>
      <c r="D26" s="8" t="s">
        <v>259</v>
      </c>
    </row>
    <row r="28" spans="1:4" ht="20" customHeight="1" x14ac:dyDescent="0.2">
      <c r="A28" s="44" t="s">
        <v>260</v>
      </c>
      <c r="B28" s="42"/>
      <c r="C28" s="42"/>
      <c r="D28" s="42"/>
    </row>
    <row r="29" spans="1:4" ht="28" customHeight="1" x14ac:dyDescent="0.2">
      <c r="A29" s="55" t="s">
        <v>261</v>
      </c>
      <c r="B29" s="42"/>
      <c r="C29" s="42"/>
      <c r="D29" s="42"/>
    </row>
    <row r="30" spans="1:4" ht="28" customHeight="1" x14ac:dyDescent="0.2">
      <c r="A30" s="55" t="s">
        <v>262</v>
      </c>
      <c r="B30" s="42"/>
      <c r="C30" s="42"/>
      <c r="D30" s="42"/>
    </row>
    <row r="31" spans="1:4" ht="28" customHeight="1" x14ac:dyDescent="0.2">
      <c r="A31" s="55" t="s">
        <v>263</v>
      </c>
      <c r="B31" s="42"/>
      <c r="C31" s="42"/>
      <c r="D31" s="42"/>
    </row>
    <row r="32" spans="1:4" ht="28" customHeight="1" x14ac:dyDescent="0.2">
      <c r="A32" s="55" t="s">
        <v>264</v>
      </c>
      <c r="B32" s="42"/>
      <c r="C32" s="42"/>
      <c r="D32" s="42"/>
    </row>
  </sheetData>
  <mergeCells count="9">
    <mergeCell ref="A32:D32"/>
    <mergeCell ref="A13:D13"/>
    <mergeCell ref="A1:D1"/>
    <mergeCell ref="A31:D31"/>
    <mergeCell ref="A3:D3"/>
    <mergeCell ref="A21:D21"/>
    <mergeCell ref="A30:D30"/>
    <mergeCell ref="A29:D29"/>
    <mergeCell ref="A28:D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10</vt:i4>
      </vt:variant>
    </vt:vector>
  </HeadingPairs>
  <TitlesOfParts>
    <vt:vector size="10" baseType="lpstr">
      <vt:lpstr>Page de garde</vt:lpstr>
      <vt:lpstr>Pourquoi investir</vt:lpstr>
      <vt:lpstr>Hypotheses</vt:lpstr>
      <vt:lpstr>Catalogue</vt:lpstr>
      <vt:lpstr>Couts par commande</vt:lpstr>
      <vt:lpstr>Budget Pub Meta</vt:lpstr>
      <vt:lpstr>Mise en place site</vt:lpstr>
      <vt:lpstr>Approvisionnement</vt:lpstr>
      <vt:lpstr>Resultat 6 mois</vt:lpstr>
      <vt:lpstr>Synthese Investisseur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Doura CISSE</cp:lastModifiedBy>
  <dcterms:created xsi:type="dcterms:W3CDTF">2026-06-16T21:37:24Z</dcterms:created>
  <dcterms:modified xsi:type="dcterms:W3CDTF">2026-06-21T00:25:43Z</dcterms:modified>
</cp:coreProperties>
</file>